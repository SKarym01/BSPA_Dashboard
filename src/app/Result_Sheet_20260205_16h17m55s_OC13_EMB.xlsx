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bosch.com\dfsrb\DfsDE\DIV\CS\DE_CS$\Tech\BSPA\00_internal\02_open_tasks\2024_06_EMB_Onepager\Tests\26.1_RC2\EMB_Sim_results\"/>
    </mc:Choice>
  </mc:AlternateContent>
  <xr:revisionPtr revIDLastSave="0" documentId="13_ncr:1_{44366BFA-57A9-422F-8810-F2B486DFF2ED}" xr6:coauthVersionLast="47" xr6:coauthVersionMax="47" xr10:uidLastSave="{00000000-0000-0000-0000-000000000000}"/>
  <bookViews>
    <workbookView xWindow="1152" yWindow="1152" windowWidth="17280" windowHeight="9960" tabRatio="714" activeTab="1" xr2:uid="{00000000-000D-0000-FFFF-FFFF00000000}"/>
  </bookViews>
  <sheets>
    <sheet name="Summary" sheetId="3" r:id="rId1"/>
    <sheet name="Detailed evaluation" sheetId="7" r:id="rId2"/>
    <sheet name="Inputs" sheetId="8" r:id="rId3"/>
    <sheet name="HINT" sheetId="6" r:id="rId4"/>
  </sheets>
  <externalReferences>
    <externalReference r:id="rId5"/>
  </externalReferences>
  <definedNames>
    <definedName name="boostForce" localSheetId="2">'[1]Detailed evaluation'!$E$9</definedName>
    <definedName name="check1">'Detailed evaluation'!$G$3</definedName>
    <definedName name="check2">'Detailed evaluation'!$G$26</definedName>
    <definedName name="check3">'Detailed evaluation'!$G$48</definedName>
    <definedName name="check4">'Detailed evaluation'!$G$59</definedName>
    <definedName name="check5">'Detailed evaluation'!#REF!</definedName>
    <definedName name="check6">'Detailed evaluation'!#REF!</definedName>
    <definedName name="check7">'Detailed evaluation'!#REF!</definedName>
    <definedName name="loadProfile" localSheetId="2">'[1]Detailed evaluation'!$E$43</definedName>
    <definedName name="loadProfile">'Detailed evaluation'!$E$100</definedName>
    <definedName name="ratingList" localSheetId="1">HINT!$E$20:$E$24</definedName>
    <definedName name="ratingList" localSheetId="2">[1]HINT!$D$16:$D$19</definedName>
    <definedName name="secondaryBrakePerformance" localSheetId="2">'[1]Detailed evaluation'!$E$26</definedName>
    <definedName name="secondaryBrakePerformance">'Detailed evaluation'!$E$78</definedName>
    <definedName name="standstillPressure" localSheetId="2">'[1]Detailed evaluation'!$E$16</definedName>
    <definedName name="tmcPressure" localSheetId="2">'[1]Detailed evaluation'!$E$32</definedName>
    <definedName name="VAF" localSheetId="2">'[1]Detailed evaluation'!$E$38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8" i="3"/>
  <c r="D7" i="3"/>
  <c r="D6" i="3"/>
  <c r="C58" i="7" l="1"/>
  <c r="C47" i="7"/>
  <c r="C25" i="7" l="1"/>
  <c r="C2" i="7"/>
</calcChain>
</file>

<file path=xl/sharedStrings.xml><?xml version="1.0" encoding="utf-8"?>
<sst xmlns="http://schemas.openxmlformats.org/spreadsheetml/2006/main" count="510" uniqueCount="213">
  <si>
    <t>Remarks</t>
  </si>
  <si>
    <t>No.</t>
  </si>
  <si>
    <t>Description</t>
  </si>
  <si>
    <t>Rating</t>
  </si>
  <si>
    <t>Passed</t>
  </si>
  <si>
    <t>Passed with restrictions</t>
  </si>
  <si>
    <t>Failed</t>
  </si>
  <si>
    <t>[Check] Clamping Force assessment</t>
  </si>
  <si>
    <t xml:space="preserve"> [Check] PLU assessment</t>
  </si>
  <si>
    <t xml:space="preserve"> [Check] Backup Performance assessment</t>
  </si>
  <si>
    <t xml:space="preserve"> [Check] Pad Area Assessment</t>
  </si>
  <si>
    <t>Summary</t>
  </si>
  <si>
    <r>
      <t xml:space="preserve">
</t>
    </r>
    <r>
      <rPr>
        <sz val="11"/>
        <color theme="1"/>
        <rFont val="Arial"/>
        <family val="2"/>
      </rPr>
      <t xml:space="preserve">-
</t>
    </r>
  </si>
  <si>
    <t>For calculation overview, visit Docupedia:</t>
  </si>
  <si>
    <t>Definition of calculations</t>
  </si>
  <si>
    <t>Tracking information</t>
  </si>
  <si>
    <t>Jira Key:</t>
  </si>
  <si>
    <t>Session Name:</t>
  </si>
  <si>
    <t>Session Database ID:</t>
  </si>
  <si>
    <t>Configuration Name:</t>
  </si>
  <si>
    <t>Configuration Database ID:</t>
  </si>
  <si>
    <t>MAMBA Version:</t>
  </si>
  <si>
    <t>Creation Date:</t>
  </si>
  <si>
    <t>Creation Time:</t>
  </si>
  <si>
    <t>Matlab Release:</t>
  </si>
  <si>
    <t>Matlab Architecture:</t>
  </si>
  <si>
    <t>Username:</t>
  </si>
  <si>
    <t>User Domain:</t>
  </si>
  <si>
    <t>BSPA number:</t>
  </si>
  <si>
    <t>Customer:</t>
  </si>
  <si>
    <t>Platform:</t>
  </si>
  <si>
    <t>ePC number:</t>
  </si>
  <si>
    <t>Result evaluation:</t>
  </si>
  <si>
    <t>needs to be defined!</t>
  </si>
  <si>
    <t>Clamping_Force_assessment - Bosch</t>
  </si>
  <si>
    <t>Value</t>
  </si>
  <si>
    <t>Reference value</t>
  </si>
  <si>
    <t>Unit</t>
  </si>
  <si>
    <t>Assessment Remark</t>
  </si>
  <si>
    <t>Bosch target deceleration</t>
  </si>
  <si>
    <t>[m/s²]</t>
  </si>
  <si>
    <t>[%]</t>
  </si>
  <si>
    <t>-</t>
  </si>
  <si>
    <t>Clamping_Force_assessment - OEM</t>
  </si>
  <si>
    <t>Consistency</t>
  </si>
  <si>
    <t>Bosch target(10,791 m/s²)</t>
  </si>
  <si>
    <t>Clamping force for parking - Bosch</t>
  </si>
  <si>
    <t>Reference Value</t>
  </si>
  <si>
    <t>Clamping force for parking - OEM</t>
  </si>
  <si>
    <t>max slope for parking without trailer - OEM</t>
  </si>
  <si>
    <t>trailer weigth - OEM</t>
  </si>
  <si>
    <t>[kg]</t>
  </si>
  <si>
    <t>max slope for parking with trailer - OEM</t>
  </si>
  <si>
    <t>Backup deceleration - 2 wheels</t>
  </si>
  <si>
    <t>Nm</t>
  </si>
  <si>
    <t>Backup deceleration - 3 wheels, loss of 1 EMB rear axle</t>
  </si>
  <si>
    <t>BOSCH Brake pad area - front</t>
  </si>
  <si>
    <t>BOSCH Brake pad area - rear</t>
  </si>
  <si>
    <t>BOSCH - Width to Height ratio - Rear</t>
  </si>
  <si>
    <t>OEM Brake pad area - front</t>
  </si>
  <si>
    <t>OEM Brake pad area - rear</t>
  </si>
  <si>
    <t>OEM - Width to Heigth ratio - Front</t>
  </si>
  <si>
    <t>For calculation overview, visit Docupedia</t>
  </si>
  <si>
    <t>Docupedia</t>
  </si>
  <si>
    <t>Parameter name</t>
  </si>
  <si>
    <t>Component name</t>
  </si>
  <si>
    <t>Trust level</t>
  </si>
  <si>
    <t>Colour codes:</t>
  </si>
  <si>
    <t>Filled out automatically by MAMBA report generator</t>
  </si>
  <si>
    <t>Hard coded to the Excel template file</t>
  </si>
  <si>
    <t>Needs to be filled out by the expert</t>
  </si>
  <si>
    <t>[Check]</t>
  </si>
  <si>
    <t>[Info]</t>
  </si>
  <si>
    <t>not clear / not checked</t>
  </si>
  <si>
    <t>Project Evaluation - EMB</t>
  </si>
  <si>
    <t>LiAutoOCW</t>
  </si>
  <si>
    <t>OC13</t>
  </si>
  <si>
    <t>v26.1</t>
  </si>
  <si>
    <t>2020b</t>
  </si>
  <si>
    <t>win64</t>
  </si>
  <si>
    <t>JBU2SI</t>
  </si>
  <si>
    <t>DE</t>
  </si>
  <si>
    <t>// allocation after request</t>
  </si>
  <si>
    <t>Li Auto</t>
  </si>
  <si>
    <t>OC, W</t>
  </si>
  <si>
    <t>10,791 m/s²</t>
  </si>
  <si>
    <t>Nominal clamping force for front axle (BOSCH target)</t>
  </si>
  <si>
    <t>47490.61</t>
  </si>
  <si>
    <t>N</t>
  </si>
  <si>
    <t>Maximum clamping force for front axle (BOSCH target)</t>
  </si>
  <si>
    <t>72185.72</t>
  </si>
  <si>
    <t>Clamping Force reserve for front axle (BOSCH target)</t>
  </si>
  <si>
    <t>%</t>
  </si>
  <si>
    <t>Nominal clamping force for rear axle (BOSCH target)</t>
  </si>
  <si>
    <t>22858.29</t>
  </si>
  <si>
    <t>Maximum clamping force for rear axle (BOSCH target)</t>
  </si>
  <si>
    <t>34744.60</t>
  </si>
  <si>
    <t>Clamping Force reserve for rear axle (BOSCH target)</t>
  </si>
  <si>
    <t xml:space="preserve">Rating </t>
  </si>
  <si>
    <t xml:space="preserve">OEM target deceleration </t>
  </si>
  <si>
    <t>Nominal clamping force for front axle (OEM target)</t>
  </si>
  <si>
    <t>41916.22</t>
  </si>
  <si>
    <t>Maximum clamping force for front axle (OEM target)</t>
  </si>
  <si>
    <t>63712.65</t>
  </si>
  <si>
    <t>Clamping Force reserve for front axle (OEM target)</t>
  </si>
  <si>
    <t>Nominal clamping force for rear axle (OEM target)</t>
  </si>
  <si>
    <t>22056.81</t>
  </si>
  <si>
    <t>Maximum clamping force for rear axle (OEM target)</t>
  </si>
  <si>
    <t>33526.35</t>
  </si>
  <si>
    <t>Clamping Force reserve for rear axle (OEM target)</t>
  </si>
  <si>
    <t xml:space="preserve">is the OEM target deceleration too low compared to Bosch target deceleration? </t>
  </si>
  <si>
    <t>Required clamping force for parking (RB requirement) (Front Axle)</t>
  </si>
  <si>
    <t>20887.08</t>
  </si>
  <si>
    <t>Required clamping force for parking (ECE requirement) (Front Axle)</t>
  </si>
  <si>
    <t>15967.08</t>
  </si>
  <si>
    <t>Required clamping force for parking w/ trailer (RB requirement) (Front Axle)</t>
  </si>
  <si>
    <t>12658.47</t>
  </si>
  <si>
    <t>Required clamping force for parking w/ single failure (Front Axle)</t>
  </si>
  <si>
    <t>13741.15</t>
  </si>
  <si>
    <t>Required clamping force for parking (RB requirement)</t>
  </si>
  <si>
    <t>Required clamping force for parking (ECE requirement)</t>
  </si>
  <si>
    <t>Required clamping force for parking w/ trailer (RB requirement)</t>
  </si>
  <si>
    <t>Required clamping force for parking w/ single failure</t>
  </si>
  <si>
    <t>Required clamping force for parking (Customer input slope) (Front Axle)</t>
  </si>
  <si>
    <t>20217.68</t>
  </si>
  <si>
    <t>Required clamping force for parking (Customer input slope)</t>
  </si>
  <si>
    <t>Required clamping force for parking w/ trailer (Customer input slope) (Front Axle)</t>
  </si>
  <si>
    <t>Required clamping force for parking w/ trailer (Customer input weight and slope) (Front Axle)</t>
  </si>
  <si>
    <t>17910.63</t>
  </si>
  <si>
    <t>Required clamping force for parking w/ trailer (Customer input slope)</t>
  </si>
  <si>
    <t>Required clamping force for parking w/ trailer (Customer input weight and slope)</t>
  </si>
  <si>
    <t>Maximum deceleration without yaw torque in backup</t>
  </si>
  <si>
    <t>m/s^2</t>
  </si>
  <si>
    <t>Resulting Yaw torque</t>
  </si>
  <si>
    <t>Backup deceleration - 3 wheels, loss of 1 EMB front axle</t>
  </si>
  <si>
    <t>cm2</t>
  </si>
  <si>
    <t>BOSCH - Width to Height ratio - Front</t>
  </si>
  <si>
    <t>OEM - Width to Heigth ratio - Rear</t>
  </si>
  <si>
    <t>Brake disc type</t>
  </si>
  <si>
    <t>Vehicle</t>
  </si>
  <si>
    <t>Not set</t>
  </si>
  <si>
    <t>Front axle load (GVM)</t>
  </si>
  <si>
    <t>kg</t>
  </si>
  <si>
    <t>Imported</t>
  </si>
  <si>
    <t>Rear axle load (GVM)</t>
  </si>
  <si>
    <t>Front axle load (LLVW)</t>
  </si>
  <si>
    <t>Rear axle load (LLVW)</t>
  </si>
  <si>
    <t>Height of centre of gravity (GVM)</t>
  </si>
  <si>
    <t>mm</t>
  </si>
  <si>
    <t>Height of centre of gravity (LLVW)</t>
  </si>
  <si>
    <t>Deceleration @ locking pressure / force @ GVM</t>
  </si>
  <si>
    <t>Homologation class</t>
  </si>
  <si>
    <t>M1 or N1 - ECE-R13H</t>
  </si>
  <si>
    <t>Max. admissible TTL</t>
  </si>
  <si>
    <t>ms</t>
  </si>
  <si>
    <t>Rolling radius of front wheel</t>
  </si>
  <si>
    <t>Rolling radius of rear wheel</t>
  </si>
  <si>
    <t>Wheelbase</t>
  </si>
  <si>
    <t>Lane width</t>
  </si>
  <si>
    <t>Redundancy concept: remaining EMBs after a single power supply failure</t>
  </si>
  <si>
    <t>FA+1RW</t>
  </si>
  <si>
    <t>"Target z-critical@ GVM (for ""fixed value"" only)"</t>
  </si>
  <si>
    <t>Max vehicle speed</t>
  </si>
  <si>
    <t>km/h</t>
  </si>
  <si>
    <t>Acceleration time 0-100 kph @ GVM</t>
  </si>
  <si>
    <t>s</t>
  </si>
  <si>
    <t>Number of stops for AMS test</t>
  </si>
  <si>
    <t>Max slope for parking use case (without trailer)</t>
  </si>
  <si>
    <t>Max slope for parking use case (wit trailer)</t>
  </si>
  <si>
    <t>Nominal locking force front @ GVM (@ high mue)</t>
  </si>
  <si>
    <t>Nominal locking force rear @ GVM (@ high mue)</t>
  </si>
  <si>
    <t>Nominal locking force front @ LLVM (@ high mue)</t>
  </si>
  <si>
    <t>Nominal locking force rear @ LLVM (@ high mue)</t>
  </si>
  <si>
    <t>Brake force distribution front / rear design</t>
  </si>
  <si>
    <t>Bosch definition (default)</t>
  </si>
  <si>
    <t>APB / PLU location</t>
  </si>
  <si>
    <t>Both axles</t>
  </si>
  <si>
    <t>Max measurable Pedal Force</t>
  </si>
  <si>
    <t>Pedal</t>
  </si>
  <si>
    <t>ePedal supplier</t>
  </si>
  <si>
    <t>Competitor</t>
  </si>
  <si>
    <t>Does the ePedal specification fit with the Bosch specification</t>
  </si>
  <si>
    <t>no</t>
  </si>
  <si>
    <t>Friction coefficient - Fading @ front axle</t>
  </si>
  <si>
    <t>Front brake</t>
  </si>
  <si>
    <t>Friction coefficient - Static nominal @ front axle for parking use case</t>
  </si>
  <si>
    <t>Friction coefficient - Static minimum @ front axle for parking use case</t>
  </si>
  <si>
    <t>Friction coefficient - Cold @ front axle</t>
  </si>
  <si>
    <t>Brake pad friction area @ front axle</t>
  </si>
  <si>
    <t>mm^2</t>
  </si>
  <si>
    <t>Brake pad height @ front axle</t>
  </si>
  <si>
    <t>Foundation brake stiffness @ 1.1g - front wheel</t>
  </si>
  <si>
    <t>kN/mm</t>
  </si>
  <si>
    <t>Foundation brake stiffness @ 10kN - front wheel</t>
  </si>
  <si>
    <t>Front brake effective radius</t>
  </si>
  <si>
    <t>Brake pad power density @ front axle</t>
  </si>
  <si>
    <t>kW/cm2</t>
  </si>
  <si>
    <t>Friction coefficient - Fading @ rear axle</t>
  </si>
  <si>
    <t>Rear brake</t>
  </si>
  <si>
    <t>Friction coefficient - Static nominal @ rear axle for parking use case</t>
  </si>
  <si>
    <t>Friction coefficient - Static minimum @ rear axle for parking use case</t>
  </si>
  <si>
    <t>Friction coefficient - Cold @ rear axle</t>
  </si>
  <si>
    <t>Brake pad friction area @ rear axle</t>
  </si>
  <si>
    <t>Brake pad height @ rear axle</t>
  </si>
  <si>
    <t>Foundation brake stiffness @ 1.1g - rear wheel</t>
  </si>
  <si>
    <t>Foundation brake stiffness @ 10kN - rear wheel</t>
  </si>
  <si>
    <t>Rear brake effective radius</t>
  </si>
  <si>
    <t>Brake pad power density @ rear axle</t>
  </si>
  <si>
    <t>Average regenerative brake torque @ front wheel</t>
  </si>
  <si>
    <t>Recuperation</t>
  </si>
  <si>
    <t>Average regenerative brake torque @ rear wheel</t>
  </si>
  <si>
    <t>Minimum regenerative brake torque @ front wheel @ 100kph</t>
  </si>
  <si>
    <t>Minimum regenerative brake torque @ rear wheel @ 100kph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</si>
</sst>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[$-F800]dddd\,\ mmmm\ dd\,\ yyyy"/>
    <numFmt numFmtId="166" formatCode="[$-F400]h:mm:ss\ AM/PM"/>
    <numFmt numFmtId="167" formatCode="0.0000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164" fontId="16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0" xfId="0" applyFill="1"/>
    <xf numFmtId="0" fontId="9" fillId="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3" fillId="0" borderId="0" xfId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2" borderId="24" xfId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4" fillId="4" borderId="3" xfId="0" applyFont="1" applyFill="1" applyBorder="1" applyAlignment="1" applyProtection="1">
      <alignment horizontal="left" vertical="center" wrapText="1"/>
      <protection locked="0"/>
    </xf>
    <xf numFmtId="0" fontId="8" fillId="4" borderId="8" xfId="0" applyFont="1" applyFill="1" applyBorder="1" applyAlignment="1" applyProtection="1">
      <alignment vertical="center"/>
      <protection locked="0"/>
    </xf>
    <xf numFmtId="0" fontId="6" fillId="3" borderId="2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5" fillId="7" borderId="3" xfId="0" applyFont="1" applyFill="1" applyBorder="1" applyAlignment="1" applyProtection="1">
      <alignment horizontal="center" vertical="center" wrapText="1"/>
      <protection locked="0"/>
    </xf>
    <xf numFmtId="0" fontId="6" fillId="3" borderId="2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" fontId="1" fillId="5" borderId="8" xfId="0" applyNumberFormat="1" applyFont="1" applyFill="1" applyBorder="1" applyAlignment="1">
      <alignment horizontal="center" vertical="center"/>
    </xf>
    <xf numFmtId="3" fontId="1" fillId="6" borderId="8" xfId="2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1" fontId="1" fillId="6" borderId="8" xfId="0" applyNumberFormat="1" applyFont="1" applyFill="1" applyBorder="1" applyAlignment="1">
      <alignment horizontal="center" vertical="center"/>
    </xf>
    <xf numFmtId="1" fontId="1" fillId="6" borderId="8" xfId="0" applyNumberFormat="1" applyFont="1" applyFill="1" applyBorder="1" applyAlignment="1">
      <alignment horizontal="center" vertical="center" wrapText="1"/>
    </xf>
    <xf numFmtId="167" fontId="1" fillId="5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166" fontId="10" fillId="5" borderId="15" xfId="0" applyNumberFormat="1" applyFont="1" applyFill="1" applyBorder="1" applyAlignment="1">
      <alignment horizontal="center" vertical="center" wrapText="1"/>
    </xf>
    <xf numFmtId="166" fontId="10" fillId="5" borderId="28" xfId="0" applyNumberFormat="1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5" fontId="10" fillId="5" borderId="15" xfId="0" applyNumberFormat="1" applyFont="1" applyFill="1" applyBorder="1" applyAlignment="1">
      <alignment horizontal="center" vertical="center" wrapText="1"/>
    </xf>
    <xf numFmtId="165" fontId="10" fillId="5" borderId="28" xfId="0" applyNumberFormat="1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right" vertical="center"/>
    </xf>
    <xf numFmtId="0" fontId="0" fillId="2" borderId="23" xfId="0" applyFill="1" applyBorder="1" applyAlignment="1">
      <alignment horizontal="right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 applyProtection="1">
      <alignment horizontal="left" vertical="top" wrapText="1"/>
      <protection locked="0"/>
    </xf>
    <xf numFmtId="0" fontId="12" fillId="4" borderId="32" xfId="0" applyFont="1" applyFill="1" applyBorder="1" applyAlignment="1" applyProtection="1">
      <alignment horizontal="left" vertical="top" wrapText="1"/>
      <protection locked="0"/>
    </xf>
    <xf numFmtId="0" fontId="12" fillId="4" borderId="27" xfId="0" applyFont="1" applyFill="1" applyBorder="1" applyAlignment="1" applyProtection="1">
      <alignment horizontal="left" vertical="top" wrapText="1"/>
      <protection locked="0"/>
    </xf>
    <xf numFmtId="0" fontId="10" fillId="5" borderId="29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</cellXfs>
  <cellStyles count="3">
    <cellStyle name="Dezimal [0]" xfId="2" builtinId="6"/>
    <cellStyle name="Link" xfId="1" builtinId="8"/>
    <cellStyle name="Standard" xfId="0" builtinId="0"/>
  </cellStyles>
  <dxfs count="2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F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mba\MAMBA_v25.3\program\templates\BSPA_RepGen\MAMBA_ReportGen_Template_iBoosterGen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ed evaluation"/>
      <sheetName val="Inputs"/>
      <sheetName val="Data"/>
      <sheetName val="HIN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side-docupedia.bosch.com/confluence/x/6n8bH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side-docupedia.bosch.com/confluence/x/6n8bH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3"/>
  <sheetViews>
    <sheetView zoomScale="84" workbookViewId="0">
      <selection activeCell="F7" sqref="F7"/>
    </sheetView>
  </sheetViews>
  <sheetFormatPr baseColWidth="10" defaultColWidth="9.109375" defaultRowHeight="13.2" x14ac:dyDescent="0.25"/>
  <cols>
    <col min="1" max="1" width="2.6640625" style="1" customWidth="1"/>
    <col min="2" max="2" width="5.5546875" style="1" customWidth="1"/>
    <col min="3" max="3" width="43" style="1" customWidth="1"/>
    <col min="4" max="4" width="14.33203125" style="1" customWidth="1"/>
    <col min="5" max="7" width="50.6640625" style="1" customWidth="1"/>
    <col min="8" max="16384" width="9.109375" style="1"/>
  </cols>
  <sheetData>
    <row r="1" spans="2:7" ht="13.8" thickBot="1" x14ac:dyDescent="0.3">
      <c r="E1" s="37"/>
    </row>
    <row r="2" spans="2:7" ht="23.25" customHeight="1" x14ac:dyDescent="0.25">
      <c r="B2" s="81" t="s">
        <v>74</v>
      </c>
      <c r="C2" s="82"/>
      <c r="D2" s="82"/>
      <c r="E2" s="82"/>
      <c r="F2" s="82"/>
      <c r="G2" s="83"/>
    </row>
    <row r="3" spans="2:7" ht="22.8" x14ac:dyDescent="0.25">
      <c r="B3" s="40"/>
      <c r="C3" s="41"/>
      <c r="D3" s="43"/>
      <c r="E3" s="78" t="s">
        <v>0</v>
      </c>
      <c r="F3" s="79"/>
      <c r="G3" s="80"/>
    </row>
    <row r="4" spans="2:7" ht="21.6" customHeight="1" x14ac:dyDescent="0.25">
      <c r="B4" s="2" t="s">
        <v>1</v>
      </c>
      <c r="C4" s="27" t="s">
        <v>2</v>
      </c>
      <c r="D4" s="27" t="s">
        <v>3</v>
      </c>
      <c r="E4" s="42" t="s">
        <v>4</v>
      </c>
      <c r="F4" s="42" t="s">
        <v>5</v>
      </c>
      <c r="G4" s="42" t="s">
        <v>6</v>
      </c>
    </row>
    <row r="5" spans="2:7" ht="40.200000000000003" customHeight="1" x14ac:dyDescent="0.25">
      <c r="B5" s="2">
        <v>1</v>
      </c>
      <c r="C5" s="3" t="s">
        <v>7</v>
      </c>
      <c r="D5" s="4" t="str">
        <f>check1</f>
        <v>Failed</v>
      </c>
      <c r="E5" s="38" t="s">
        <v>42</v>
      </c>
      <c r="F5" s="38" t="s">
        <v>42</v>
      </c>
      <c r="G5" s="38" t="s">
        <v>42</v>
      </c>
    </row>
    <row r="6" spans="2:7" ht="47.4" customHeight="1" x14ac:dyDescent="0.25">
      <c r="B6" s="2">
        <v>2</v>
      </c>
      <c r="C6" s="3" t="s">
        <v>8</v>
      </c>
      <c r="D6" s="4" t="str">
        <f>check2</f>
        <v>Passed</v>
      </c>
      <c r="E6" s="38" t="s">
        <v>42</v>
      </c>
      <c r="F6" s="38" t="s">
        <v>42</v>
      </c>
      <c r="G6" s="38" t="s">
        <v>42</v>
      </c>
    </row>
    <row r="7" spans="2:7" ht="44.4" customHeight="1" x14ac:dyDescent="0.25">
      <c r="B7" s="2">
        <v>3</v>
      </c>
      <c r="C7" s="3" t="s">
        <v>9</v>
      </c>
      <c r="D7" s="4" t="str">
        <f>check3</f>
        <v>Passed</v>
      </c>
      <c r="E7" s="38" t="s">
        <v>42</v>
      </c>
      <c r="F7" s="38" t="s">
        <v>42</v>
      </c>
      <c r="G7" s="38" t="s">
        <v>42</v>
      </c>
    </row>
    <row r="8" spans="2:7" ht="55.2" customHeight="1" x14ac:dyDescent="0.25">
      <c r="B8" s="2">
        <v>4</v>
      </c>
      <c r="C8" s="3" t="s">
        <v>10</v>
      </c>
      <c r="D8" s="4" t="str">
        <f>check4</f>
        <v>Passed</v>
      </c>
      <c r="E8" s="38" t="s">
        <v>42</v>
      </c>
      <c r="F8" s="38" t="s">
        <v>42</v>
      </c>
      <c r="G8" s="38" t="s">
        <v>42</v>
      </c>
    </row>
    <row r="9" spans="2:7" ht="23.25" customHeight="1" thickBot="1" x14ac:dyDescent="0.3">
      <c r="E9" s="37"/>
    </row>
    <row r="10" spans="2:7" ht="50.1" customHeight="1" x14ac:dyDescent="0.25">
      <c r="B10" s="81" t="s">
        <v>11</v>
      </c>
      <c r="C10" s="82"/>
      <c r="D10" s="82"/>
      <c r="E10" s="82"/>
      <c r="F10" s="82"/>
      <c r="G10" s="83"/>
    </row>
    <row r="11" spans="2:7" ht="45" customHeight="1" thickBot="1" x14ac:dyDescent="0.3">
      <c r="B11" s="84" t="s">
        <v>12</v>
      </c>
      <c r="C11" s="85"/>
      <c r="D11" s="85"/>
      <c r="E11" s="85"/>
      <c r="F11" s="85"/>
      <c r="G11" s="86"/>
    </row>
    <row r="12" spans="2:7" ht="13.8" thickBot="1" x14ac:dyDescent="0.3">
      <c r="E12" s="37"/>
    </row>
    <row r="13" spans="2:7" ht="13.8" thickBot="1" x14ac:dyDescent="0.3">
      <c r="B13" s="76" t="s">
        <v>13</v>
      </c>
      <c r="C13" s="77"/>
      <c r="D13" s="77"/>
      <c r="E13" s="36" t="s">
        <v>14</v>
      </c>
    </row>
    <row r="16" spans="2:7" ht="16.5" customHeight="1" thickBot="1" x14ac:dyDescent="0.3"/>
    <row r="17" spans="2:5" ht="16.2" thickBot="1" x14ac:dyDescent="0.3">
      <c r="B17" s="89" t="s">
        <v>15</v>
      </c>
      <c r="C17" s="90"/>
      <c r="D17" s="90"/>
      <c r="E17" s="91"/>
    </row>
    <row r="18" spans="2:5" ht="15.6" x14ac:dyDescent="0.25">
      <c r="B18" s="92" t="s">
        <v>16</v>
      </c>
      <c r="C18" s="93"/>
      <c r="D18" s="87"/>
      <c r="E18" s="88"/>
    </row>
    <row r="19" spans="2:5" ht="15.6" x14ac:dyDescent="0.25">
      <c r="B19" s="92" t="s">
        <v>17</v>
      </c>
      <c r="C19" s="93"/>
      <c r="D19" s="66" t="s">
        <v>75</v>
      </c>
      <c r="E19" s="67"/>
    </row>
    <row r="20" spans="2:5" ht="15.6" x14ac:dyDescent="0.25">
      <c r="B20" s="92" t="s">
        <v>18</v>
      </c>
      <c r="C20" s="93"/>
      <c r="D20" s="66" t="s">
        <v>42</v>
      </c>
      <c r="E20" s="67"/>
    </row>
    <row r="21" spans="2:5" ht="15.6" x14ac:dyDescent="0.25">
      <c r="B21" s="92" t="s">
        <v>19</v>
      </c>
      <c r="C21" s="93"/>
      <c r="D21" s="66" t="s">
        <v>76</v>
      </c>
      <c r="E21" s="67"/>
    </row>
    <row r="22" spans="2:5" ht="15.6" x14ac:dyDescent="0.25">
      <c r="B22" s="64" t="s">
        <v>20</v>
      </c>
      <c r="C22" s="65"/>
      <c r="D22" s="66" t="s">
        <v>42</v>
      </c>
      <c r="E22" s="67"/>
    </row>
    <row r="23" spans="2:5" ht="15.6" x14ac:dyDescent="0.25">
      <c r="B23" s="64" t="s">
        <v>21</v>
      </c>
      <c r="C23" s="65"/>
      <c r="D23" s="66" t="s">
        <v>77</v>
      </c>
      <c r="E23" s="67"/>
    </row>
    <row r="24" spans="2:5" ht="15.6" x14ac:dyDescent="0.25">
      <c r="B24" s="64" t="s">
        <v>22</v>
      </c>
      <c r="C24" s="65"/>
      <c r="D24" s="74">
        <v>46058</v>
      </c>
      <c r="E24" s="75"/>
    </row>
    <row r="25" spans="2:5" ht="15.6" x14ac:dyDescent="0.25">
      <c r="B25" s="64" t="s">
        <v>23</v>
      </c>
      <c r="C25" s="65"/>
      <c r="D25" s="68">
        <v>0.67910879629629628</v>
      </c>
      <c r="E25" s="69"/>
    </row>
    <row r="26" spans="2:5" ht="15.6" x14ac:dyDescent="0.25">
      <c r="B26" s="64" t="s">
        <v>24</v>
      </c>
      <c r="C26" s="65"/>
      <c r="D26" s="66" t="s">
        <v>78</v>
      </c>
      <c r="E26" s="67"/>
    </row>
    <row r="27" spans="2:5" ht="15.6" x14ac:dyDescent="0.25">
      <c r="B27" s="64" t="s">
        <v>25</v>
      </c>
      <c r="C27" s="65"/>
      <c r="D27" s="66" t="s">
        <v>79</v>
      </c>
      <c r="E27" s="67"/>
    </row>
    <row r="28" spans="2:5" ht="15.6" x14ac:dyDescent="0.25">
      <c r="B28" s="64" t="s">
        <v>26</v>
      </c>
      <c r="C28" s="65"/>
      <c r="D28" s="66" t="s">
        <v>80</v>
      </c>
      <c r="E28" s="67"/>
    </row>
    <row r="29" spans="2:5" ht="15.6" x14ac:dyDescent="0.25">
      <c r="B29" s="64" t="s">
        <v>27</v>
      </c>
      <c r="C29" s="65"/>
      <c r="D29" s="66" t="s">
        <v>81</v>
      </c>
      <c r="E29" s="67"/>
    </row>
    <row r="30" spans="2:5" ht="15.6" x14ac:dyDescent="0.25">
      <c r="B30" s="64" t="s">
        <v>28</v>
      </c>
      <c r="C30" s="65"/>
      <c r="D30" s="66" t="s">
        <v>82</v>
      </c>
      <c r="E30" s="67"/>
    </row>
    <row r="31" spans="2:5" ht="15.6" x14ac:dyDescent="0.25">
      <c r="B31" s="64" t="s">
        <v>29</v>
      </c>
      <c r="C31" s="65"/>
      <c r="D31" s="66" t="s">
        <v>83</v>
      </c>
      <c r="E31" s="67"/>
    </row>
    <row r="32" spans="2:5" ht="15.6" x14ac:dyDescent="0.25">
      <c r="B32" s="64" t="s">
        <v>30</v>
      </c>
      <c r="C32" s="65"/>
      <c r="D32" s="66" t="s">
        <v>84</v>
      </c>
      <c r="E32" s="67"/>
    </row>
    <row r="33" spans="2:5" ht="16.2" thickBot="1" x14ac:dyDescent="0.3">
      <c r="B33" s="72" t="s">
        <v>31</v>
      </c>
      <c r="C33" s="73"/>
      <c r="D33" s="70">
        <v>500103</v>
      </c>
      <c r="E33" s="71"/>
    </row>
  </sheetData>
  <sheetProtection algorithmName="SHA-512" hashValue="bbDxXyKJqfHPYIfMD4UrGbVLcmXKu+qS3wbvAvXh5Kdkg5u3JQUNqbjUPPoRmAYfDbRoIhxJpgnZN3hbstSt6w==" saltValue="GWLBkuSfKMTy6Hmv+zTL6w==" spinCount="100000" sheet="1" objects="1" scenarios="1"/>
  <mergeCells count="38">
    <mergeCell ref="B13:D13"/>
    <mergeCell ref="E3:G3"/>
    <mergeCell ref="B2:G2"/>
    <mergeCell ref="B11:G11"/>
    <mergeCell ref="D21:E21"/>
    <mergeCell ref="D20:E20"/>
    <mergeCell ref="D19:E19"/>
    <mergeCell ref="D18:E18"/>
    <mergeCell ref="B17:E17"/>
    <mergeCell ref="B21:C21"/>
    <mergeCell ref="B18:C18"/>
    <mergeCell ref="B20:C20"/>
    <mergeCell ref="B19:C19"/>
    <mergeCell ref="B10:G10"/>
    <mergeCell ref="B22:C22"/>
    <mergeCell ref="D22:E22"/>
    <mergeCell ref="B23:C23"/>
    <mergeCell ref="D23:E23"/>
    <mergeCell ref="B24:C24"/>
    <mergeCell ref="D24:E24"/>
    <mergeCell ref="D30:E30"/>
    <mergeCell ref="D31:E31"/>
    <mergeCell ref="D32:E32"/>
    <mergeCell ref="D33:E33"/>
    <mergeCell ref="B30:C30"/>
    <mergeCell ref="B31:C31"/>
    <mergeCell ref="B32:C32"/>
    <mergeCell ref="B33:C33"/>
    <mergeCell ref="B29:C29"/>
    <mergeCell ref="D29:E29"/>
    <mergeCell ref="B25:C25"/>
    <mergeCell ref="D25:E25"/>
    <mergeCell ref="B26:C26"/>
    <mergeCell ref="D26:E26"/>
    <mergeCell ref="B27:C27"/>
    <mergeCell ref="D27:E27"/>
    <mergeCell ref="B28:C28"/>
    <mergeCell ref="D28:E28"/>
  </mergeCells>
  <conditionalFormatting sqref="D5:D8">
    <cfRule type="cellIs" dxfId="23" priority="46" operator="equal">
      <formula>"failed"</formula>
    </cfRule>
    <cfRule type="cellIs" dxfId="22" priority="47" operator="equal">
      <formula>"passed"</formula>
    </cfRule>
    <cfRule type="containsBlanks" dxfId="21" priority="48">
      <formula>LEN(TRIM(D5))=0</formula>
    </cfRule>
  </conditionalFormatting>
  <hyperlinks>
    <hyperlink ref="E13" r:id="rId1" xr:uid="{00000000-0004-0000-00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3" operator="containsText" id="{2AFFD77D-5A3F-4841-AF72-808DB0B3F36A}">
            <xm:f>NOT(ISERROR(SEARCH(HINT!$E$22,D5)))</xm:f>
            <xm:f>HINT!$E$22</xm:f>
            <x14:dxf>
              <fill>
                <patternFill>
                  <bgColor rgb="FFFFFF00"/>
                </patternFill>
              </fill>
            </x14:dxf>
          </x14:cfRule>
          <xm:sqref>D5:D8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06"/>
  <sheetViews>
    <sheetView tabSelected="1" zoomScaleNormal="100" workbookViewId="0">
      <selection activeCell="C68" sqref="C68"/>
    </sheetView>
  </sheetViews>
  <sheetFormatPr baseColWidth="10" defaultColWidth="9.109375" defaultRowHeight="15.6" x14ac:dyDescent="0.25"/>
  <cols>
    <col min="1" max="1" width="2.6640625" style="1" customWidth="1"/>
    <col min="2" max="2" width="2.5546875" style="10" bestFit="1" customWidth="1"/>
    <col min="3" max="3" width="93.6640625" style="1" customWidth="1"/>
    <col min="4" max="4" width="18.33203125" style="1" customWidth="1"/>
    <col min="5" max="5" width="25" style="11" bestFit="1" customWidth="1"/>
    <col min="6" max="6" width="10" style="1" customWidth="1"/>
    <col min="7" max="7" width="23.6640625" style="1" customWidth="1"/>
    <col min="8" max="16384" width="9.109375" style="1"/>
  </cols>
  <sheetData>
    <row r="2" spans="2:7" x14ac:dyDescent="0.25">
      <c r="B2" s="9">
        <v>1</v>
      </c>
      <c r="C2" s="94" t="str">
        <f>Summary!C5</f>
        <v>[Check] Clamping Force assessment</v>
      </c>
      <c r="D2" s="94"/>
      <c r="E2" s="94"/>
      <c r="F2" s="94"/>
      <c r="G2" s="94"/>
    </row>
    <row r="3" spans="2:7" x14ac:dyDescent="0.25">
      <c r="B3" s="98" t="s">
        <v>32</v>
      </c>
      <c r="C3" s="98"/>
      <c r="D3" s="98"/>
      <c r="E3" s="98"/>
      <c r="F3" s="98"/>
      <c r="G3" s="39" t="s">
        <v>6</v>
      </c>
    </row>
    <row r="4" spans="2:7" x14ac:dyDescent="0.25">
      <c r="C4" s="12" t="s">
        <v>34</v>
      </c>
      <c r="D4" s="12" t="s">
        <v>35</v>
      </c>
      <c r="E4" s="45" t="s">
        <v>36</v>
      </c>
      <c r="F4" s="12" t="s">
        <v>37</v>
      </c>
      <c r="G4" s="12" t="s">
        <v>38</v>
      </c>
    </row>
    <row r="5" spans="2:7" x14ac:dyDescent="0.25">
      <c r="C5" s="54" t="s">
        <v>39</v>
      </c>
      <c r="D5" s="46" t="s">
        <v>85</v>
      </c>
      <c r="E5" s="46" t="s">
        <v>42</v>
      </c>
      <c r="F5" s="46" t="s">
        <v>40</v>
      </c>
      <c r="G5" s="12" t="s">
        <v>42</v>
      </c>
    </row>
    <row r="6" spans="2:7" x14ac:dyDescent="0.25">
      <c r="C6" s="54" t="s">
        <v>86</v>
      </c>
      <c r="D6" s="56" t="s">
        <v>87</v>
      </c>
      <c r="E6" s="56">
        <v>43333</v>
      </c>
      <c r="F6" s="46" t="s">
        <v>88</v>
      </c>
      <c r="G6" s="12"/>
    </row>
    <row r="7" spans="2:7" x14ac:dyDescent="0.25">
      <c r="C7" s="54" t="s">
        <v>89</v>
      </c>
      <c r="D7" s="56" t="s">
        <v>90</v>
      </c>
      <c r="E7" s="56">
        <v>65000</v>
      </c>
      <c r="F7" s="46" t="s">
        <v>88</v>
      </c>
      <c r="G7" s="12"/>
    </row>
    <row r="8" spans="2:7" ht="15" customHeight="1" x14ac:dyDescent="0.25">
      <c r="C8" s="54" t="s">
        <v>91</v>
      </c>
      <c r="D8" s="46">
        <v>36.869999999999997</v>
      </c>
      <c r="E8" s="46">
        <v>50</v>
      </c>
      <c r="F8" s="46" t="s">
        <v>92</v>
      </c>
      <c r="G8" s="12"/>
    </row>
    <row r="9" spans="2:7" x14ac:dyDescent="0.25">
      <c r="C9" s="54" t="s">
        <v>93</v>
      </c>
      <c r="D9" s="56" t="s">
        <v>94</v>
      </c>
      <c r="E9" s="56">
        <v>23333</v>
      </c>
      <c r="F9" s="46" t="s">
        <v>88</v>
      </c>
      <c r="G9" s="12"/>
    </row>
    <row r="10" spans="2:7" x14ac:dyDescent="0.25">
      <c r="C10" s="54" t="s">
        <v>95</v>
      </c>
      <c r="D10" s="56" t="s">
        <v>96</v>
      </c>
      <c r="E10" s="56">
        <v>35000</v>
      </c>
      <c r="F10" s="46" t="s">
        <v>88</v>
      </c>
      <c r="G10" s="12"/>
    </row>
    <row r="11" spans="2:7" ht="15" customHeight="1" x14ac:dyDescent="0.25">
      <c r="C11" s="54" t="s">
        <v>97</v>
      </c>
      <c r="D11" s="46">
        <v>53.12</v>
      </c>
      <c r="E11" s="46">
        <v>50</v>
      </c>
      <c r="F11" s="46" t="s">
        <v>92</v>
      </c>
      <c r="G11" s="12"/>
    </row>
    <row r="12" spans="2:7" x14ac:dyDescent="0.25">
      <c r="C12" s="54" t="s">
        <v>98</v>
      </c>
      <c r="D12" s="46" t="s">
        <v>42</v>
      </c>
      <c r="E12" s="46" t="s">
        <v>42</v>
      </c>
      <c r="F12" s="46" t="s">
        <v>42</v>
      </c>
      <c r="G12" s="26" t="s">
        <v>6</v>
      </c>
    </row>
    <row r="13" spans="2:7" x14ac:dyDescent="0.25">
      <c r="C13" s="12" t="s">
        <v>43</v>
      </c>
      <c r="D13" s="12" t="s">
        <v>35</v>
      </c>
      <c r="E13" s="45" t="s">
        <v>36</v>
      </c>
      <c r="F13" s="12" t="s">
        <v>37</v>
      </c>
      <c r="G13" s="12"/>
    </row>
    <row r="14" spans="2:7" x14ac:dyDescent="0.25">
      <c r="C14" s="55" t="s">
        <v>99</v>
      </c>
      <c r="D14" s="46">
        <v>9.81</v>
      </c>
      <c r="E14" s="46" t="s">
        <v>42</v>
      </c>
      <c r="F14" s="46" t="s">
        <v>40</v>
      </c>
      <c r="G14" s="12"/>
    </row>
    <row r="15" spans="2:7" x14ac:dyDescent="0.25">
      <c r="C15" s="55" t="s">
        <v>100</v>
      </c>
      <c r="D15" s="56" t="s">
        <v>101</v>
      </c>
      <c r="E15" s="56">
        <v>43333</v>
      </c>
      <c r="F15" s="46" t="s">
        <v>88</v>
      </c>
      <c r="G15" s="12"/>
    </row>
    <row r="16" spans="2:7" x14ac:dyDescent="0.25">
      <c r="C16" s="55" t="s">
        <v>102</v>
      </c>
      <c r="D16" s="56" t="s">
        <v>103</v>
      </c>
      <c r="E16" s="56">
        <v>65000</v>
      </c>
      <c r="F16" s="46" t="s">
        <v>88</v>
      </c>
      <c r="G16" s="12"/>
    </row>
    <row r="17" spans="2:7" x14ac:dyDescent="0.25">
      <c r="C17" s="55" t="s">
        <v>104</v>
      </c>
      <c r="D17" s="46">
        <v>55.07</v>
      </c>
      <c r="E17" s="46">
        <v>50</v>
      </c>
      <c r="F17" s="46" t="s">
        <v>92</v>
      </c>
      <c r="G17" s="12"/>
    </row>
    <row r="18" spans="2:7" x14ac:dyDescent="0.25">
      <c r="C18" s="55" t="s">
        <v>105</v>
      </c>
      <c r="D18" s="56" t="s">
        <v>106</v>
      </c>
      <c r="E18" s="56">
        <v>23333</v>
      </c>
      <c r="F18" s="46" t="s">
        <v>88</v>
      </c>
      <c r="G18" s="12"/>
    </row>
    <row r="19" spans="2:7" x14ac:dyDescent="0.25">
      <c r="C19" s="55" t="s">
        <v>107</v>
      </c>
      <c r="D19" s="56" t="s">
        <v>108</v>
      </c>
      <c r="E19" s="56">
        <v>35000</v>
      </c>
      <c r="F19" s="46" t="s">
        <v>88</v>
      </c>
      <c r="G19" s="12"/>
    </row>
    <row r="20" spans="2:7" x14ac:dyDescent="0.25">
      <c r="C20" s="55" t="s">
        <v>109</v>
      </c>
      <c r="D20" s="46">
        <v>58.68</v>
      </c>
      <c r="E20" s="46">
        <v>50</v>
      </c>
      <c r="F20" s="46" t="s">
        <v>92</v>
      </c>
      <c r="G20" s="12"/>
    </row>
    <row r="21" spans="2:7" x14ac:dyDescent="0.25">
      <c r="C21" s="55" t="s">
        <v>98</v>
      </c>
      <c r="D21" s="46" t="s">
        <v>42</v>
      </c>
      <c r="E21" s="46" t="s">
        <v>42</v>
      </c>
      <c r="F21" s="46" t="s">
        <v>42</v>
      </c>
      <c r="G21" s="44" t="s">
        <v>4</v>
      </c>
    </row>
    <row r="22" spans="2:7" x14ac:dyDescent="0.25">
      <c r="C22" s="12" t="s">
        <v>44</v>
      </c>
      <c r="D22" s="12" t="s">
        <v>35</v>
      </c>
      <c r="E22" s="45" t="s">
        <v>36</v>
      </c>
      <c r="F22" s="12" t="s">
        <v>37</v>
      </c>
      <c r="G22" s="12"/>
    </row>
    <row r="23" spans="2:7" x14ac:dyDescent="0.25">
      <c r="C23" s="46" t="s">
        <v>110</v>
      </c>
      <c r="D23" s="52">
        <v>9.81</v>
      </c>
      <c r="E23" s="46" t="s">
        <v>45</v>
      </c>
      <c r="F23" s="46" t="s">
        <v>40</v>
      </c>
      <c r="G23" s="44" t="s">
        <v>5</v>
      </c>
    </row>
    <row r="25" spans="2:7" ht="15.75" customHeight="1" x14ac:dyDescent="0.25">
      <c r="B25" s="9">
        <v>2</v>
      </c>
      <c r="C25" s="94" t="str">
        <f>Summary!C6</f>
        <v xml:space="preserve"> [Check] PLU assessment</v>
      </c>
      <c r="D25" s="94"/>
      <c r="E25" s="94"/>
      <c r="F25" s="94"/>
      <c r="G25" s="94"/>
    </row>
    <row r="26" spans="2:7" ht="15.75" customHeight="1" x14ac:dyDescent="0.25">
      <c r="B26" s="95" t="s">
        <v>32</v>
      </c>
      <c r="C26" s="96"/>
      <c r="D26" s="96"/>
      <c r="E26" s="96"/>
      <c r="F26" s="97"/>
      <c r="G26" s="39" t="s">
        <v>4</v>
      </c>
    </row>
    <row r="27" spans="2:7" x14ac:dyDescent="0.25">
      <c r="C27" s="12" t="s">
        <v>46</v>
      </c>
      <c r="D27" s="12" t="s">
        <v>35</v>
      </c>
      <c r="E27" s="12" t="s">
        <v>47</v>
      </c>
      <c r="F27" s="12" t="s">
        <v>37</v>
      </c>
      <c r="G27" s="12" t="s">
        <v>38</v>
      </c>
    </row>
    <row r="28" spans="2:7" x14ac:dyDescent="0.25">
      <c r="C28" s="53" t="s">
        <v>111</v>
      </c>
      <c r="D28" s="51" t="s">
        <v>112</v>
      </c>
      <c r="E28" s="51">
        <v>25000</v>
      </c>
      <c r="F28" s="46" t="s">
        <v>88</v>
      </c>
      <c r="G28" s="26" t="s">
        <v>4</v>
      </c>
    </row>
    <row r="29" spans="2:7" x14ac:dyDescent="0.25">
      <c r="C29" s="53" t="s">
        <v>113</v>
      </c>
      <c r="D29" s="51" t="s">
        <v>114</v>
      </c>
      <c r="E29" s="51">
        <v>21000</v>
      </c>
      <c r="F29" s="46" t="s">
        <v>88</v>
      </c>
      <c r="G29" s="26" t="s">
        <v>4</v>
      </c>
    </row>
    <row r="30" spans="2:7" x14ac:dyDescent="0.25">
      <c r="C30" s="53" t="s">
        <v>115</v>
      </c>
      <c r="D30" s="51" t="s">
        <v>116</v>
      </c>
      <c r="E30" s="51">
        <v>25000</v>
      </c>
      <c r="F30" s="46" t="s">
        <v>88</v>
      </c>
      <c r="G30" s="26" t="s">
        <v>4</v>
      </c>
    </row>
    <row r="31" spans="2:7" x14ac:dyDescent="0.25">
      <c r="C31" s="53" t="s">
        <v>117</v>
      </c>
      <c r="D31" s="51" t="s">
        <v>118</v>
      </c>
      <c r="E31" s="51">
        <v>25000</v>
      </c>
      <c r="F31" s="46" t="s">
        <v>88</v>
      </c>
      <c r="G31" s="26" t="s">
        <v>4</v>
      </c>
    </row>
    <row r="32" spans="2:7" x14ac:dyDescent="0.25">
      <c r="C32" s="53" t="s">
        <v>119</v>
      </c>
      <c r="D32" s="51" t="s">
        <v>112</v>
      </c>
      <c r="E32" s="51">
        <v>25000</v>
      </c>
      <c r="F32" s="46" t="s">
        <v>88</v>
      </c>
      <c r="G32" s="26" t="s">
        <v>4</v>
      </c>
    </row>
    <row r="33" spans="2:7" x14ac:dyDescent="0.25">
      <c r="C33" s="53" t="s">
        <v>120</v>
      </c>
      <c r="D33" s="51" t="s">
        <v>114</v>
      </c>
      <c r="E33" s="51">
        <v>21000</v>
      </c>
      <c r="F33" s="46" t="s">
        <v>88</v>
      </c>
      <c r="G33" s="26" t="s">
        <v>4</v>
      </c>
    </row>
    <row r="34" spans="2:7" x14ac:dyDescent="0.25">
      <c r="C34" s="53" t="s">
        <v>121</v>
      </c>
      <c r="D34" s="51" t="s">
        <v>116</v>
      </c>
      <c r="E34" s="51">
        <v>25000</v>
      </c>
      <c r="F34" s="46" t="s">
        <v>88</v>
      </c>
      <c r="G34" s="26" t="s">
        <v>4</v>
      </c>
    </row>
    <row r="35" spans="2:7" x14ac:dyDescent="0.25">
      <c r="C35" s="53" t="s">
        <v>122</v>
      </c>
      <c r="D35" s="51" t="s">
        <v>118</v>
      </c>
      <c r="E35" s="51">
        <v>25000</v>
      </c>
      <c r="F35" s="46" t="s">
        <v>88</v>
      </c>
      <c r="G35" s="26" t="s">
        <v>4</v>
      </c>
    </row>
    <row r="36" spans="2:7" x14ac:dyDescent="0.25">
      <c r="C36" s="12" t="s">
        <v>48</v>
      </c>
      <c r="D36" s="12" t="s">
        <v>35</v>
      </c>
      <c r="E36" s="12" t="s">
        <v>47</v>
      </c>
      <c r="F36" s="12" t="s">
        <v>37</v>
      </c>
      <c r="G36" s="12" t="s">
        <v>38</v>
      </c>
    </row>
    <row r="37" spans="2:7" x14ac:dyDescent="0.25">
      <c r="C37" s="48" t="s">
        <v>49</v>
      </c>
      <c r="D37" s="48">
        <v>30</v>
      </c>
      <c r="E37" s="48" t="s">
        <v>42</v>
      </c>
      <c r="F37" s="48" t="s">
        <v>41</v>
      </c>
      <c r="G37" s="12"/>
    </row>
    <row r="38" spans="2:7" x14ac:dyDescent="0.25">
      <c r="C38" s="48" t="s">
        <v>123</v>
      </c>
      <c r="D38" s="51" t="s">
        <v>124</v>
      </c>
      <c r="E38" s="51">
        <v>25000</v>
      </c>
      <c r="F38" s="46" t="s">
        <v>88</v>
      </c>
      <c r="G38" s="26" t="s">
        <v>4</v>
      </c>
    </row>
    <row r="39" spans="2:7" x14ac:dyDescent="0.25">
      <c r="C39" s="48" t="s">
        <v>125</v>
      </c>
      <c r="D39" s="51" t="s">
        <v>124</v>
      </c>
      <c r="E39" s="51">
        <v>25000</v>
      </c>
      <c r="F39" s="46" t="s">
        <v>88</v>
      </c>
      <c r="G39" s="26" t="s">
        <v>4</v>
      </c>
    </row>
    <row r="40" spans="2:7" x14ac:dyDescent="0.25">
      <c r="C40" s="48" t="s">
        <v>50</v>
      </c>
      <c r="D40" s="51">
        <v>750</v>
      </c>
      <c r="E40" s="26" t="s">
        <v>42</v>
      </c>
      <c r="F40" s="46" t="s">
        <v>51</v>
      </c>
      <c r="G40" s="12"/>
    </row>
    <row r="41" spans="2:7" x14ac:dyDescent="0.25">
      <c r="C41" s="48" t="s">
        <v>52</v>
      </c>
      <c r="D41" s="51">
        <v>20</v>
      </c>
      <c r="E41" s="26" t="s">
        <v>42</v>
      </c>
      <c r="F41" s="46" t="s">
        <v>41</v>
      </c>
      <c r="G41" s="12"/>
    </row>
    <row r="42" spans="2:7" x14ac:dyDescent="0.25">
      <c r="C42" s="48" t="s">
        <v>126</v>
      </c>
      <c r="D42" s="51" t="s">
        <v>114</v>
      </c>
      <c r="E42" s="51">
        <v>25000</v>
      </c>
      <c r="F42" s="46" t="s">
        <v>88</v>
      </c>
      <c r="G42" s="26" t="s">
        <v>4</v>
      </c>
    </row>
    <row r="43" spans="2:7" x14ac:dyDescent="0.25">
      <c r="C43" s="48" t="s">
        <v>127</v>
      </c>
      <c r="D43" s="51" t="s">
        <v>128</v>
      </c>
      <c r="E43" s="51">
        <v>25000</v>
      </c>
      <c r="F43" s="46" t="s">
        <v>88</v>
      </c>
      <c r="G43" s="26" t="s">
        <v>4</v>
      </c>
    </row>
    <row r="44" spans="2:7" x14ac:dyDescent="0.25">
      <c r="C44" s="48" t="s">
        <v>129</v>
      </c>
      <c r="D44" s="51" t="s">
        <v>114</v>
      </c>
      <c r="E44" s="51">
        <v>25000</v>
      </c>
      <c r="F44" s="46" t="s">
        <v>88</v>
      </c>
      <c r="G44" s="26" t="s">
        <v>4</v>
      </c>
    </row>
    <row r="45" spans="2:7" x14ac:dyDescent="0.25">
      <c r="C45" s="48" t="s">
        <v>130</v>
      </c>
      <c r="D45" s="51" t="s">
        <v>128</v>
      </c>
      <c r="E45" s="51">
        <v>25000</v>
      </c>
      <c r="F45" s="46" t="s">
        <v>88</v>
      </c>
      <c r="G45" s="26" t="s">
        <v>4</v>
      </c>
    </row>
    <row r="46" spans="2:7" x14ac:dyDescent="0.25">
      <c r="E46" s="1"/>
    </row>
    <row r="47" spans="2:7" ht="15.75" customHeight="1" x14ac:dyDescent="0.25">
      <c r="B47" s="9">
        <v>3</v>
      </c>
      <c r="C47" s="94" t="str">
        <f>Summary!C7</f>
        <v xml:space="preserve"> [Check] Backup Performance assessment</v>
      </c>
      <c r="D47" s="94"/>
      <c r="E47" s="94"/>
      <c r="F47" s="94"/>
      <c r="G47" s="94"/>
    </row>
    <row r="48" spans="2:7" ht="15.75" customHeight="1" x14ac:dyDescent="0.25">
      <c r="B48" s="95" t="s">
        <v>32</v>
      </c>
      <c r="C48" s="96"/>
      <c r="D48" s="96"/>
      <c r="E48" s="96"/>
      <c r="F48" s="97"/>
      <c r="G48" s="39" t="s">
        <v>4</v>
      </c>
    </row>
    <row r="49" spans="2:7" x14ac:dyDescent="0.25">
      <c r="C49" s="12" t="s">
        <v>2</v>
      </c>
      <c r="D49" s="12" t="s">
        <v>35</v>
      </c>
      <c r="E49" s="12" t="s">
        <v>47</v>
      </c>
      <c r="F49" s="12" t="s">
        <v>37</v>
      </c>
      <c r="G49" s="12" t="s">
        <v>38</v>
      </c>
    </row>
    <row r="50" spans="2:7" x14ac:dyDescent="0.25">
      <c r="C50" s="50" t="s">
        <v>131</v>
      </c>
      <c r="D50" s="49">
        <v>4.04</v>
      </c>
      <c r="E50" s="47" t="s">
        <v>42</v>
      </c>
      <c r="F50" s="47" t="s">
        <v>132</v>
      </c>
      <c r="G50" s="12" t="s">
        <v>42</v>
      </c>
    </row>
    <row r="51" spans="2:7" x14ac:dyDescent="0.25">
      <c r="C51" s="47" t="s">
        <v>53</v>
      </c>
      <c r="D51" s="47">
        <v>4.5999999999999996</v>
      </c>
      <c r="E51" s="47">
        <v>4</v>
      </c>
      <c r="F51" s="47" t="s">
        <v>132</v>
      </c>
      <c r="G51" s="47" t="s">
        <v>4</v>
      </c>
    </row>
    <row r="52" spans="2:7" x14ac:dyDescent="0.25">
      <c r="C52" s="47" t="s">
        <v>133</v>
      </c>
      <c r="D52" s="57">
        <v>1967</v>
      </c>
      <c r="E52" s="57" t="s">
        <v>42</v>
      </c>
      <c r="F52" s="47" t="s">
        <v>54</v>
      </c>
      <c r="G52" s="12" t="s">
        <v>42</v>
      </c>
    </row>
    <row r="53" spans="2:7" x14ac:dyDescent="0.25">
      <c r="C53" s="47" t="s">
        <v>134</v>
      </c>
      <c r="D53" s="47">
        <v>6.5</v>
      </c>
      <c r="E53" s="47">
        <v>6.43</v>
      </c>
      <c r="F53" s="47" t="s">
        <v>132</v>
      </c>
      <c r="G53" s="47" t="s">
        <v>4</v>
      </c>
    </row>
    <row r="54" spans="2:7" x14ac:dyDescent="0.25">
      <c r="C54" s="47" t="s">
        <v>133</v>
      </c>
      <c r="D54" s="57">
        <v>8635</v>
      </c>
      <c r="E54" s="57" t="s">
        <v>42</v>
      </c>
      <c r="F54" s="47" t="s">
        <v>54</v>
      </c>
      <c r="G54" s="12" t="s">
        <v>42</v>
      </c>
    </row>
    <row r="55" spans="2:7" x14ac:dyDescent="0.25">
      <c r="C55" s="47" t="s">
        <v>55</v>
      </c>
      <c r="D55" s="47">
        <v>7.7</v>
      </c>
      <c r="E55" s="47">
        <v>6.43</v>
      </c>
      <c r="F55" s="47" t="s">
        <v>132</v>
      </c>
      <c r="G55" s="47" t="s">
        <v>4</v>
      </c>
    </row>
    <row r="56" spans="2:7" x14ac:dyDescent="0.25">
      <c r="C56" s="47" t="s">
        <v>133</v>
      </c>
      <c r="D56" s="57">
        <v>4931</v>
      </c>
      <c r="E56" s="57" t="s">
        <v>42</v>
      </c>
      <c r="F56" s="47" t="s">
        <v>54</v>
      </c>
      <c r="G56" s="12" t="s">
        <v>42</v>
      </c>
    </row>
    <row r="57" spans="2:7" ht="15.75" customHeight="1" x14ac:dyDescent="0.25">
      <c r="B57" s="1"/>
      <c r="E57" s="1"/>
    </row>
    <row r="58" spans="2:7" ht="15.75" customHeight="1" x14ac:dyDescent="0.25">
      <c r="B58" s="9">
        <v>4</v>
      </c>
      <c r="C58" s="94" t="str">
        <f>Summary!C8</f>
        <v xml:space="preserve"> [Check] Pad Area Assessment</v>
      </c>
      <c r="D58" s="94"/>
      <c r="E58" s="94"/>
      <c r="F58" s="94"/>
      <c r="G58" s="94"/>
    </row>
    <row r="59" spans="2:7" ht="15.75" customHeight="1" x14ac:dyDescent="0.25">
      <c r="B59" s="95" t="s">
        <v>32</v>
      </c>
      <c r="C59" s="96"/>
      <c r="D59" s="96"/>
      <c r="E59" s="96"/>
      <c r="F59" s="97"/>
      <c r="G59" s="39" t="s">
        <v>4</v>
      </c>
    </row>
    <row r="60" spans="2:7" x14ac:dyDescent="0.25">
      <c r="C60" s="12" t="s">
        <v>2</v>
      </c>
      <c r="D60" s="12" t="s">
        <v>35</v>
      </c>
      <c r="E60" s="12" t="s">
        <v>47</v>
      </c>
      <c r="F60" s="12" t="s">
        <v>37</v>
      </c>
      <c r="G60" s="12" t="s">
        <v>38</v>
      </c>
    </row>
    <row r="61" spans="2:7" x14ac:dyDescent="0.25">
      <c r="C61" s="48" t="s">
        <v>56</v>
      </c>
      <c r="D61" s="58">
        <v>72.67</v>
      </c>
      <c r="E61" s="26">
        <v>84.5</v>
      </c>
      <c r="F61" s="26" t="s">
        <v>135</v>
      </c>
      <c r="G61" s="26" t="s">
        <v>4</v>
      </c>
    </row>
    <row r="62" spans="2:7" x14ac:dyDescent="0.25">
      <c r="C62" s="48" t="s">
        <v>57</v>
      </c>
      <c r="D62" s="58">
        <v>34.450000000000003</v>
      </c>
      <c r="E62" s="26">
        <v>64.98</v>
      </c>
      <c r="F62" s="26" t="s">
        <v>135</v>
      </c>
      <c r="G62" s="26" t="s">
        <v>4</v>
      </c>
    </row>
    <row r="63" spans="2:7" ht="13.2" x14ac:dyDescent="0.25">
      <c r="B63" s="1"/>
      <c r="C63" s="48" t="s">
        <v>136</v>
      </c>
      <c r="D63" s="58">
        <v>1.72</v>
      </c>
      <c r="E63" s="26">
        <v>2</v>
      </c>
      <c r="F63" s="26" t="s">
        <v>42</v>
      </c>
      <c r="G63" s="26" t="s">
        <v>4</v>
      </c>
    </row>
    <row r="64" spans="2:7" ht="13.2" x14ac:dyDescent="0.25">
      <c r="B64" s="1"/>
      <c r="C64" s="48" t="s">
        <v>58</v>
      </c>
      <c r="D64" s="58">
        <v>1.06</v>
      </c>
      <c r="E64" s="26">
        <v>2</v>
      </c>
      <c r="F64" s="26" t="s">
        <v>42</v>
      </c>
      <c r="G64" s="26" t="s">
        <v>4</v>
      </c>
    </row>
    <row r="65" spans="2:7" x14ac:dyDescent="0.25">
      <c r="C65" s="48" t="s">
        <v>59</v>
      </c>
      <c r="D65" s="58">
        <v>64.14</v>
      </c>
      <c r="E65" s="26">
        <v>84.5</v>
      </c>
      <c r="F65" s="26" t="s">
        <v>135</v>
      </c>
      <c r="G65" s="26" t="s">
        <v>4</v>
      </c>
    </row>
    <row r="66" spans="2:7" ht="13.2" x14ac:dyDescent="0.25">
      <c r="B66" s="1"/>
      <c r="C66" s="48" t="s">
        <v>60</v>
      </c>
      <c r="D66" s="58">
        <v>33.24</v>
      </c>
      <c r="E66" s="26">
        <v>64.98</v>
      </c>
      <c r="F66" s="26" t="s">
        <v>135</v>
      </c>
      <c r="G66" s="26" t="s">
        <v>4</v>
      </c>
    </row>
    <row r="67" spans="2:7" ht="13.2" x14ac:dyDescent="0.25">
      <c r="B67" s="1"/>
      <c r="C67" s="48" t="s">
        <v>61</v>
      </c>
      <c r="D67" s="58">
        <v>1.52</v>
      </c>
      <c r="E67" s="26">
        <v>2</v>
      </c>
      <c r="F67" s="26" t="s">
        <v>42</v>
      </c>
      <c r="G67" s="26" t="s">
        <v>4</v>
      </c>
    </row>
    <row r="68" spans="2:7" ht="13.2" x14ac:dyDescent="0.25">
      <c r="B68" s="1"/>
      <c r="C68" s="48" t="s">
        <v>137</v>
      </c>
      <c r="D68" s="58">
        <v>1.02</v>
      </c>
      <c r="E68" s="26">
        <v>2</v>
      </c>
      <c r="F68" s="26" t="s">
        <v>42</v>
      </c>
      <c r="G68" s="26" t="s">
        <v>4</v>
      </c>
    </row>
    <row r="69" spans="2:7" x14ac:dyDescent="0.25">
      <c r="C69" s="59"/>
      <c r="D69" s="60"/>
      <c r="E69" s="61"/>
      <c r="F69" s="61"/>
      <c r="G69" s="61"/>
    </row>
    <row r="70" spans="2:7" ht="15.75" customHeight="1" x14ac:dyDescent="0.25"/>
    <row r="71" spans="2:7" ht="15.75" customHeight="1" x14ac:dyDescent="0.25"/>
    <row r="72" spans="2:7" ht="15.75" customHeight="1" x14ac:dyDescent="0.25"/>
    <row r="74" spans="2:7" s="25" customFormat="1" x14ac:dyDescent="0.25">
      <c r="B74" s="13"/>
      <c r="E74" s="14"/>
      <c r="F74" s="14"/>
    </row>
    <row r="75" spans="2:7" s="25" customFormat="1" x14ac:dyDescent="0.25">
      <c r="B75" s="13"/>
      <c r="E75" s="14"/>
      <c r="F75" s="14"/>
    </row>
    <row r="76" spans="2:7" ht="13.2" x14ac:dyDescent="0.25">
      <c r="B76" s="1"/>
      <c r="E76" s="1"/>
    </row>
    <row r="77" spans="2:7" ht="17.25" customHeight="1" x14ac:dyDescent="0.25">
      <c r="B77" s="1"/>
      <c r="C77" s="35" t="s">
        <v>62</v>
      </c>
      <c r="D77" s="34" t="s">
        <v>63</v>
      </c>
      <c r="E77" s="1"/>
    </row>
    <row r="78" spans="2:7" ht="13.2" x14ac:dyDescent="0.25">
      <c r="B78" s="1"/>
      <c r="E78" s="1"/>
    </row>
    <row r="79" spans="2:7" ht="13.2" x14ac:dyDescent="0.25">
      <c r="B79" s="1"/>
      <c r="E79" s="1"/>
    </row>
    <row r="98" s="1" customFormat="1" ht="13.2" x14ac:dyDescent="0.25"/>
    <row r="99" s="1" customFormat="1" ht="13.2" x14ac:dyDescent="0.25"/>
    <row r="100" s="1" customFormat="1" ht="13.2" x14ac:dyDescent="0.25"/>
    <row r="101" s="1" customFormat="1" ht="13.2" x14ac:dyDescent="0.25"/>
    <row r="104" s="1" customFormat="1" ht="13.2" x14ac:dyDescent="0.25"/>
    <row r="105" s="1" customFormat="1" ht="13.2" x14ac:dyDescent="0.25"/>
    <row r="106" s="1" customFormat="1" ht="13.2" x14ac:dyDescent="0.25"/>
  </sheetData>
  <sheetProtection algorithmName="SHA-512" hashValue="sHW3WSJieUnFBIKQ4dxY1s7sE/mdSngZhuqEfEURe7aqpeTMxL72jghFVl2GGtpotVFDRzmfGU25ujs3Jr/Hbg==" saltValue="JKODWwOHGaLoPgHwp8vZtg==" spinCount="100000" sheet="1" objects="1" scenarios="1"/>
  <mergeCells count="8">
    <mergeCell ref="C2:G2"/>
    <mergeCell ref="C25:G25"/>
    <mergeCell ref="C58:G58"/>
    <mergeCell ref="B59:F59"/>
    <mergeCell ref="C47:G47"/>
    <mergeCell ref="B48:F48"/>
    <mergeCell ref="B26:F26"/>
    <mergeCell ref="B3:F3"/>
  </mergeCells>
  <conditionalFormatting sqref="G3">
    <cfRule type="containsText" dxfId="19" priority="57" operator="containsText" text="failed">
      <formula>NOT(ISERROR(SEARCH("failed",G3)))</formula>
    </cfRule>
    <cfRule type="containsText" dxfId="18" priority="58" operator="containsText" text="passed">
      <formula>NOT(ISERROR(SEARCH("passed",G3)))</formula>
    </cfRule>
  </conditionalFormatting>
  <conditionalFormatting sqref="G12 G21 G23">
    <cfRule type="cellIs" dxfId="17" priority="71" operator="equal">
      <formula>"Failed"</formula>
    </cfRule>
    <cfRule type="cellIs" dxfId="15" priority="73" operator="equal">
      <formula>"Passed"</formula>
    </cfRule>
  </conditionalFormatting>
  <conditionalFormatting sqref="G26">
    <cfRule type="containsText" dxfId="13" priority="60" operator="containsText" text="failed">
      <formula>NOT(ISERROR(SEARCH("failed",G26)))</formula>
    </cfRule>
    <cfRule type="containsText" dxfId="12" priority="61" operator="containsText" text="passed">
      <formula>NOT(ISERROR(SEARCH("passed",G26)))</formula>
    </cfRule>
  </conditionalFormatting>
  <conditionalFormatting sqref="G28:G35 G38:G39 G41:G45 G61:G69">
    <cfRule type="cellIs" dxfId="11" priority="98" operator="equal">
      <formula>"Failed"</formula>
    </cfRule>
    <cfRule type="cellIs" dxfId="10" priority="99" operator="equal">
      <formula>"Passed with restrictions"</formula>
    </cfRule>
    <cfRule type="cellIs" dxfId="9" priority="100" operator="equal">
      <formula>"Passed"</formula>
    </cfRule>
  </conditionalFormatting>
  <conditionalFormatting sqref="G48">
    <cfRule type="containsText" dxfId="7" priority="84" operator="containsText" text="failed">
      <formula>NOT(ISERROR(SEARCH("failed",G48)))</formula>
    </cfRule>
    <cfRule type="containsText" dxfId="6" priority="85" operator="containsText" text="passed">
      <formula>NOT(ISERROR(SEARCH("passed",G48)))</formula>
    </cfRule>
  </conditionalFormatting>
  <conditionalFormatting sqref="G51 G53 G55">
    <cfRule type="cellIs" dxfId="5" priority="80" operator="equal">
      <formula>"Failed"</formula>
    </cfRule>
    <cfRule type="cellIs" dxfId="4" priority="81" operator="equal">
      <formula>"Passed with restrictions"</formula>
    </cfRule>
    <cfRule type="cellIs" dxfId="3" priority="82" operator="equal">
      <formula>"Passed"</formula>
    </cfRule>
  </conditionalFormatting>
  <conditionalFormatting sqref="G59">
    <cfRule type="containsText" dxfId="1" priority="54" operator="containsText" text="failed">
      <formula>NOT(ISERROR(SEARCH("failed",G59)))</formula>
    </cfRule>
    <cfRule type="containsText" dxfId="0" priority="55" operator="containsText" text="passed">
      <formula>NOT(ISERROR(SEARCH("passed",G59)))</formula>
    </cfRule>
  </conditionalFormatting>
  <dataValidations count="1">
    <dataValidation type="list" allowBlank="1" showInputMessage="1" showErrorMessage="1" sqref="E100:F100 E78:F78 G59 G26 G48" xr:uid="{00000000-0002-0000-0100-000000000000}">
      <formula1>ratingList</formula1>
    </dataValidation>
  </dataValidations>
  <hyperlinks>
    <hyperlink ref="D77" r:id="rId1" xr:uid="{00000000-0004-0000-01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6" operator="containsText" id="{289FE5DF-9C5A-44E3-B3B3-D0012905532A}">
            <xm:f>NOT(ISERROR(SEARCH(HINT!$G$22,G3)))</xm:f>
            <xm:f>HINT!$G$22</xm:f>
            <x14:dxf>
              <fill>
                <patternFill>
                  <bgColor rgb="FFFFFF00"/>
                </patternFill>
              </fill>
            </x14:dxf>
          </x14:cfRule>
          <xm:sqref>G3</xm:sqref>
        </x14:conditionalFormatting>
        <x14:conditionalFormatting xmlns:xm="http://schemas.microsoft.com/office/excel/2006/main">
          <x14:cfRule type="cellIs" priority="72" operator="equal" id="{FEE96617-7B6B-48FF-8C87-5A15747A5E36}">
            <xm:f>HINT!$G$22</xm:f>
            <x14:dxf>
              <fill>
                <patternFill>
                  <bgColor rgb="FFFFFF00"/>
                </patternFill>
              </fill>
            </x14:dxf>
          </x14:cfRule>
          <xm:sqref>G12 G21 G23</xm:sqref>
        </x14:conditionalFormatting>
        <x14:conditionalFormatting xmlns:xm="http://schemas.microsoft.com/office/excel/2006/main">
          <x14:cfRule type="containsText" priority="59" operator="containsText" id="{9263756F-D565-48AD-AD15-98A8CDA78C13}">
            <xm:f>NOT(ISERROR(SEARCH(HINT!$E$22,G26)))</xm:f>
            <xm:f>HINT!$E$22</xm:f>
            <x14:dxf>
              <fill>
                <patternFill>
                  <bgColor rgb="FFFFFF00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containsText" priority="83" operator="containsText" id="{534AB8FD-EE25-42DF-948D-3DDAAB03E230}">
            <xm:f>NOT(ISERROR(SEARCH(HINT!$E$22,G48)))</xm:f>
            <xm:f>HINT!$E$22</xm:f>
            <x14:dxf>
              <fill>
                <patternFill>
                  <bgColor rgb="FFFFFF00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containsText" priority="53" operator="containsText" id="{29CA0850-A966-48C4-9DC4-D31367DBDAB1}">
            <xm:f>NOT(ISERROR(SEARCH(HINT!$E$22,G59)))</xm:f>
            <xm:f>HINT!$E$22</xm:f>
            <x14:dxf>
              <fill>
                <patternFill>
                  <bgColor rgb="FFFFFF00"/>
                </patternFill>
              </fill>
            </x14:dxf>
          </x14:cfRule>
          <xm:sqref>G59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HINT!$G$20:$G$23</xm:f>
          </x14:formula1>
          <xm:sqref>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02"/>
  <sheetViews>
    <sheetView workbookViewId="0">
      <selection activeCell="B5" sqref="B5"/>
    </sheetView>
  </sheetViews>
  <sheetFormatPr baseColWidth="10" defaultColWidth="11.44140625" defaultRowHeight="13.8" x14ac:dyDescent="0.25"/>
  <cols>
    <col min="1" max="1" width="2.6640625" style="15" customWidth="1"/>
    <col min="2" max="2" width="40.6640625" style="15" customWidth="1"/>
    <col min="3" max="3" width="21.6640625" style="15" customWidth="1"/>
    <col min="4" max="4" width="24.33203125" style="15" customWidth="1"/>
    <col min="5" max="5" width="8.6640625" style="15" customWidth="1"/>
    <col min="6" max="6" width="15.6640625" style="15" customWidth="1"/>
    <col min="7" max="7" width="5.6640625" style="15" customWidth="1"/>
    <col min="8" max="16384" width="11.44140625" style="15"/>
  </cols>
  <sheetData>
    <row r="1" spans="2:6" ht="14.4" thickBot="1" x14ac:dyDescent="0.3"/>
    <row r="2" spans="2:6" ht="33" customHeight="1" thickBot="1" x14ac:dyDescent="0.3">
      <c r="B2" s="16" t="s">
        <v>64</v>
      </c>
      <c r="C2" s="17" t="s">
        <v>65</v>
      </c>
      <c r="D2" s="17" t="s">
        <v>35</v>
      </c>
      <c r="E2" s="17" t="s">
        <v>37</v>
      </c>
      <c r="F2" s="18" t="s">
        <v>66</v>
      </c>
    </row>
    <row r="3" spans="2:6" x14ac:dyDescent="0.25">
      <c r="B3" s="19" t="s">
        <v>138</v>
      </c>
      <c r="C3" s="20" t="s">
        <v>139</v>
      </c>
      <c r="D3" s="20"/>
      <c r="E3" s="20" t="s">
        <v>42</v>
      </c>
      <c r="F3" s="21" t="s">
        <v>140</v>
      </c>
    </row>
    <row r="4" spans="2:6" x14ac:dyDescent="0.25">
      <c r="B4" s="22" t="s">
        <v>141</v>
      </c>
      <c r="C4" s="23" t="s">
        <v>139</v>
      </c>
      <c r="D4" s="23">
        <v>1626</v>
      </c>
      <c r="E4" s="23" t="s">
        <v>142</v>
      </c>
      <c r="F4" s="24" t="s">
        <v>143</v>
      </c>
    </row>
    <row r="5" spans="2:6" x14ac:dyDescent="0.25">
      <c r="B5" s="22" t="s">
        <v>144</v>
      </c>
      <c r="C5" s="23" t="s">
        <v>139</v>
      </c>
      <c r="D5" s="23">
        <v>1900</v>
      </c>
      <c r="E5" s="23" t="s">
        <v>142</v>
      </c>
      <c r="F5" s="24" t="s">
        <v>143</v>
      </c>
    </row>
    <row r="6" spans="2:6" x14ac:dyDescent="0.25">
      <c r="B6" s="22" t="s">
        <v>145</v>
      </c>
      <c r="C6" s="23" t="s">
        <v>139</v>
      </c>
      <c r="D6" s="23">
        <v>1379</v>
      </c>
      <c r="E6" s="23" t="s">
        <v>142</v>
      </c>
      <c r="F6" s="24" t="s">
        <v>143</v>
      </c>
    </row>
    <row r="7" spans="2:6" x14ac:dyDescent="0.25">
      <c r="B7" s="22" t="s">
        <v>146</v>
      </c>
      <c r="C7" s="23" t="s">
        <v>139</v>
      </c>
      <c r="D7" s="23">
        <v>1529</v>
      </c>
      <c r="E7" s="23" t="s">
        <v>142</v>
      </c>
      <c r="F7" s="24" t="s">
        <v>143</v>
      </c>
    </row>
    <row r="8" spans="2:6" x14ac:dyDescent="0.25">
      <c r="B8" s="22" t="s">
        <v>147</v>
      </c>
      <c r="C8" s="23" t="s">
        <v>139</v>
      </c>
      <c r="D8" s="23">
        <v>642</v>
      </c>
      <c r="E8" s="23" t="s">
        <v>148</v>
      </c>
      <c r="F8" s="24" t="s">
        <v>143</v>
      </c>
    </row>
    <row r="9" spans="2:6" x14ac:dyDescent="0.25">
      <c r="B9" s="22" t="s">
        <v>149</v>
      </c>
      <c r="C9" s="23" t="s">
        <v>139</v>
      </c>
      <c r="D9" s="23">
        <v>586</v>
      </c>
      <c r="E9" s="23" t="s">
        <v>148</v>
      </c>
      <c r="F9" s="24" t="s">
        <v>143</v>
      </c>
    </row>
    <row r="10" spans="2:6" x14ac:dyDescent="0.25">
      <c r="B10" s="22" t="s">
        <v>150</v>
      </c>
      <c r="C10" s="23" t="s">
        <v>139</v>
      </c>
      <c r="D10" s="23">
        <v>9.81</v>
      </c>
      <c r="E10" s="23" t="s">
        <v>132</v>
      </c>
      <c r="F10" s="24" t="s">
        <v>143</v>
      </c>
    </row>
    <row r="11" spans="2:6" x14ac:dyDescent="0.25">
      <c r="B11" s="22" t="s">
        <v>151</v>
      </c>
      <c r="C11" s="23" t="s">
        <v>139</v>
      </c>
      <c r="D11" s="23" t="s">
        <v>152</v>
      </c>
      <c r="E11" s="23" t="s">
        <v>42</v>
      </c>
      <c r="F11" s="24" t="s">
        <v>143</v>
      </c>
    </row>
    <row r="12" spans="2:6" x14ac:dyDescent="0.25">
      <c r="B12" s="22" t="s">
        <v>153</v>
      </c>
      <c r="C12" s="23" t="s">
        <v>139</v>
      </c>
      <c r="D12" s="23"/>
      <c r="E12" s="23" t="s">
        <v>154</v>
      </c>
      <c r="F12" s="24" t="s">
        <v>140</v>
      </c>
    </row>
    <row r="13" spans="2:6" x14ac:dyDescent="0.25">
      <c r="B13" s="22" t="s">
        <v>155</v>
      </c>
      <c r="C13" s="23" t="s">
        <v>139</v>
      </c>
      <c r="D13" s="23">
        <v>359</v>
      </c>
      <c r="E13" s="23" t="s">
        <v>148</v>
      </c>
      <c r="F13" s="24" t="s">
        <v>143</v>
      </c>
    </row>
    <row r="14" spans="2:6" x14ac:dyDescent="0.25">
      <c r="B14" s="22" t="s">
        <v>156</v>
      </c>
      <c r="C14" s="23" t="s">
        <v>139</v>
      </c>
      <c r="D14" s="23">
        <v>359</v>
      </c>
      <c r="E14" s="23" t="s">
        <v>148</v>
      </c>
      <c r="F14" s="24" t="s">
        <v>143</v>
      </c>
    </row>
    <row r="15" spans="2:6" x14ac:dyDescent="0.25">
      <c r="B15" s="22" t="s">
        <v>157</v>
      </c>
      <c r="C15" s="23" t="s">
        <v>139</v>
      </c>
      <c r="D15" s="23">
        <v>3250</v>
      </c>
      <c r="E15" s="23" t="s">
        <v>148</v>
      </c>
      <c r="F15" s="24" t="s">
        <v>143</v>
      </c>
    </row>
    <row r="16" spans="2:6" x14ac:dyDescent="0.25">
      <c r="B16" s="22" t="s">
        <v>158</v>
      </c>
      <c r="C16" s="23" t="s">
        <v>139</v>
      </c>
      <c r="D16" s="23">
        <v>1690</v>
      </c>
      <c r="E16" s="23" t="s">
        <v>148</v>
      </c>
      <c r="F16" s="24" t="s">
        <v>143</v>
      </c>
    </row>
    <row r="17" spans="2:6" x14ac:dyDescent="0.25">
      <c r="B17" s="22" t="s">
        <v>159</v>
      </c>
      <c r="C17" s="23" t="s">
        <v>139</v>
      </c>
      <c r="D17" s="23" t="s">
        <v>160</v>
      </c>
      <c r="E17" s="23" t="s">
        <v>42</v>
      </c>
      <c r="F17" s="24" t="s">
        <v>143</v>
      </c>
    </row>
    <row r="18" spans="2:6" x14ac:dyDescent="0.25">
      <c r="B18" s="22" t="s">
        <v>161</v>
      </c>
      <c r="C18" s="23" t="s">
        <v>139</v>
      </c>
      <c r="D18" s="23"/>
      <c r="E18" s="23" t="s">
        <v>42</v>
      </c>
      <c r="F18" s="24" t="s">
        <v>140</v>
      </c>
    </row>
    <row r="19" spans="2:6" x14ac:dyDescent="0.25">
      <c r="B19" s="22" t="s">
        <v>162</v>
      </c>
      <c r="C19" s="23" t="s">
        <v>139</v>
      </c>
      <c r="D19" s="23">
        <v>150</v>
      </c>
      <c r="E19" s="23" t="s">
        <v>163</v>
      </c>
      <c r="F19" s="24" t="s">
        <v>143</v>
      </c>
    </row>
    <row r="20" spans="2:6" x14ac:dyDescent="0.25">
      <c r="B20" s="22" t="s">
        <v>164</v>
      </c>
      <c r="C20" s="23" t="s">
        <v>139</v>
      </c>
      <c r="D20" s="23">
        <v>5.3</v>
      </c>
      <c r="E20" s="23" t="s">
        <v>165</v>
      </c>
      <c r="F20" s="24" t="s">
        <v>143</v>
      </c>
    </row>
    <row r="21" spans="2:6" x14ac:dyDescent="0.25">
      <c r="B21" s="22" t="s">
        <v>166</v>
      </c>
      <c r="C21" s="23" t="s">
        <v>139</v>
      </c>
      <c r="D21" s="23">
        <v>10</v>
      </c>
      <c r="E21" s="23" t="s">
        <v>42</v>
      </c>
      <c r="F21" s="24" t="s">
        <v>143</v>
      </c>
    </row>
    <row r="22" spans="2:6" x14ac:dyDescent="0.25">
      <c r="B22" s="22" t="s">
        <v>167</v>
      </c>
      <c r="C22" s="23" t="s">
        <v>139</v>
      </c>
      <c r="D22" s="23">
        <v>30</v>
      </c>
      <c r="E22" s="23" t="s">
        <v>92</v>
      </c>
      <c r="F22" s="24" t="s">
        <v>143</v>
      </c>
    </row>
    <row r="23" spans="2:6" x14ac:dyDescent="0.25">
      <c r="B23" s="22" t="s">
        <v>168</v>
      </c>
      <c r="C23" s="23" t="s">
        <v>139</v>
      </c>
      <c r="D23" s="23">
        <v>20</v>
      </c>
      <c r="E23" s="23" t="s">
        <v>92</v>
      </c>
      <c r="F23" s="24" t="s">
        <v>143</v>
      </c>
    </row>
    <row r="24" spans="2:6" x14ac:dyDescent="0.25">
      <c r="B24" s="22" t="s">
        <v>169</v>
      </c>
      <c r="C24" s="23" t="s">
        <v>139</v>
      </c>
      <c r="D24" s="23">
        <v>41920</v>
      </c>
      <c r="E24" s="23" t="s">
        <v>88</v>
      </c>
      <c r="F24" s="24" t="s">
        <v>143</v>
      </c>
    </row>
    <row r="25" spans="2:6" x14ac:dyDescent="0.25">
      <c r="B25" s="22" t="s">
        <v>170</v>
      </c>
      <c r="C25" s="23" t="s">
        <v>139</v>
      </c>
      <c r="D25" s="23">
        <v>22060</v>
      </c>
      <c r="E25" s="23" t="s">
        <v>88</v>
      </c>
      <c r="F25" s="24" t="s">
        <v>143</v>
      </c>
    </row>
    <row r="26" spans="2:6" x14ac:dyDescent="0.25">
      <c r="B26" s="22" t="s">
        <v>171</v>
      </c>
      <c r="C26" s="23" t="s">
        <v>139</v>
      </c>
      <c r="D26" s="23">
        <v>34350</v>
      </c>
      <c r="E26" s="23" t="s">
        <v>88</v>
      </c>
      <c r="F26" s="24" t="s">
        <v>143</v>
      </c>
    </row>
    <row r="27" spans="2:6" x14ac:dyDescent="0.25">
      <c r="B27" s="22" t="s">
        <v>172</v>
      </c>
      <c r="C27" s="23" t="s">
        <v>139</v>
      </c>
      <c r="D27" s="23">
        <v>18410</v>
      </c>
      <c r="E27" s="23" t="s">
        <v>88</v>
      </c>
      <c r="F27" s="24" t="s">
        <v>143</v>
      </c>
    </row>
    <row r="28" spans="2:6" x14ac:dyDescent="0.25">
      <c r="B28" s="22" t="s">
        <v>173</v>
      </c>
      <c r="C28" s="23" t="s">
        <v>139</v>
      </c>
      <c r="D28" s="23" t="s">
        <v>174</v>
      </c>
      <c r="E28" s="23" t="s">
        <v>42</v>
      </c>
      <c r="F28" s="24" t="s">
        <v>143</v>
      </c>
    </row>
    <row r="29" spans="2:6" x14ac:dyDescent="0.25">
      <c r="B29" s="22" t="s">
        <v>175</v>
      </c>
      <c r="C29" s="23" t="s">
        <v>139</v>
      </c>
      <c r="D29" s="23" t="s">
        <v>176</v>
      </c>
      <c r="E29" s="23" t="s">
        <v>42</v>
      </c>
      <c r="F29" s="24" t="s">
        <v>143</v>
      </c>
    </row>
    <row r="30" spans="2:6" x14ac:dyDescent="0.25">
      <c r="B30" s="29" t="s">
        <v>177</v>
      </c>
      <c r="C30" s="28" t="s">
        <v>178</v>
      </c>
      <c r="D30" s="28">
        <v>600</v>
      </c>
      <c r="E30" s="28" t="s">
        <v>88</v>
      </c>
      <c r="F30" s="30" t="s">
        <v>143</v>
      </c>
    </row>
    <row r="31" spans="2:6" x14ac:dyDescent="0.25">
      <c r="B31" s="29" t="s">
        <v>179</v>
      </c>
      <c r="C31" s="28" t="s">
        <v>178</v>
      </c>
      <c r="D31" s="28" t="s">
        <v>180</v>
      </c>
      <c r="E31" s="28" t="s">
        <v>42</v>
      </c>
      <c r="F31" s="30" t="s">
        <v>143</v>
      </c>
    </row>
    <row r="32" spans="2:6" x14ac:dyDescent="0.25">
      <c r="B32" s="29" t="s">
        <v>181</v>
      </c>
      <c r="C32" s="28" t="s">
        <v>178</v>
      </c>
      <c r="D32" s="28" t="s">
        <v>182</v>
      </c>
      <c r="E32" s="28" t="s">
        <v>42</v>
      </c>
      <c r="F32" s="30" t="s">
        <v>143</v>
      </c>
    </row>
    <row r="33" spans="2:6" x14ac:dyDescent="0.25">
      <c r="B33" s="29" t="s">
        <v>183</v>
      </c>
      <c r="C33" s="28" t="s">
        <v>184</v>
      </c>
      <c r="D33" s="28">
        <v>0.25</v>
      </c>
      <c r="E33" s="28" t="s">
        <v>42</v>
      </c>
      <c r="F33" s="30" t="s">
        <v>143</v>
      </c>
    </row>
    <row r="34" spans="2:6" x14ac:dyDescent="0.25">
      <c r="B34" s="29" t="s">
        <v>185</v>
      </c>
      <c r="C34" s="28" t="s">
        <v>184</v>
      </c>
      <c r="D34" s="28">
        <v>0.3</v>
      </c>
      <c r="E34" s="28" t="s">
        <v>42</v>
      </c>
      <c r="F34" s="30" t="s">
        <v>143</v>
      </c>
    </row>
    <row r="35" spans="2:6" x14ac:dyDescent="0.25">
      <c r="B35" s="29" t="s">
        <v>186</v>
      </c>
      <c r="C35" s="28" t="s">
        <v>184</v>
      </c>
      <c r="D35" s="28">
        <v>0.25</v>
      </c>
      <c r="E35" s="28" t="s">
        <v>42</v>
      </c>
      <c r="F35" s="30" t="s">
        <v>143</v>
      </c>
    </row>
    <row r="36" spans="2:6" x14ac:dyDescent="0.25">
      <c r="B36" s="29" t="s">
        <v>187</v>
      </c>
      <c r="C36" s="28" t="s">
        <v>184</v>
      </c>
      <c r="D36" s="28"/>
      <c r="E36" s="28" t="s">
        <v>42</v>
      </c>
      <c r="F36" s="30" t="s">
        <v>140</v>
      </c>
    </row>
    <row r="37" spans="2:6" x14ac:dyDescent="0.25">
      <c r="B37" s="29" t="s">
        <v>188</v>
      </c>
      <c r="C37" s="28" t="s">
        <v>184</v>
      </c>
      <c r="D37" s="28"/>
      <c r="E37" s="28" t="s">
        <v>189</v>
      </c>
      <c r="F37" s="30" t="s">
        <v>140</v>
      </c>
    </row>
    <row r="38" spans="2:6" x14ac:dyDescent="0.25">
      <c r="B38" s="29" t="s">
        <v>190</v>
      </c>
      <c r="C38" s="28" t="s">
        <v>184</v>
      </c>
      <c r="D38" s="28">
        <v>65</v>
      </c>
      <c r="E38" s="28" t="s">
        <v>148</v>
      </c>
      <c r="F38" s="30" t="s">
        <v>143</v>
      </c>
    </row>
    <row r="39" spans="2:6" x14ac:dyDescent="0.25">
      <c r="B39" s="29" t="s">
        <v>191</v>
      </c>
      <c r="C39" s="28" t="s">
        <v>184</v>
      </c>
      <c r="D39" s="28"/>
      <c r="E39" s="28" t="s">
        <v>192</v>
      </c>
      <c r="F39" s="30" t="s">
        <v>140</v>
      </c>
    </row>
    <row r="40" spans="2:6" x14ac:dyDescent="0.25">
      <c r="B40" s="29" t="s">
        <v>193</v>
      </c>
      <c r="C40" s="28" t="s">
        <v>184</v>
      </c>
      <c r="D40" s="28"/>
      <c r="E40" s="28" t="s">
        <v>192</v>
      </c>
      <c r="F40" s="30" t="s">
        <v>140</v>
      </c>
    </row>
    <row r="41" spans="2:6" x14ac:dyDescent="0.25">
      <c r="B41" s="29" t="s">
        <v>194</v>
      </c>
      <c r="C41" s="28" t="s">
        <v>184</v>
      </c>
      <c r="D41" s="28">
        <v>0.13100000000000001</v>
      </c>
      <c r="E41" s="28" t="s">
        <v>148</v>
      </c>
      <c r="F41" s="30" t="s">
        <v>143</v>
      </c>
    </row>
    <row r="42" spans="2:6" x14ac:dyDescent="0.25">
      <c r="B42" s="29" t="s">
        <v>195</v>
      </c>
      <c r="C42" s="28" t="s">
        <v>184</v>
      </c>
      <c r="D42" s="28">
        <v>1.85</v>
      </c>
      <c r="E42" s="28" t="s">
        <v>196</v>
      </c>
      <c r="F42" s="30" t="s">
        <v>143</v>
      </c>
    </row>
    <row r="43" spans="2:6" x14ac:dyDescent="0.25">
      <c r="B43" s="29" t="s">
        <v>197</v>
      </c>
      <c r="C43" s="28" t="s">
        <v>198</v>
      </c>
      <c r="D43" s="28">
        <v>0.25</v>
      </c>
      <c r="E43" s="28" t="s">
        <v>42</v>
      </c>
      <c r="F43" s="30" t="s">
        <v>143</v>
      </c>
    </row>
    <row r="44" spans="2:6" x14ac:dyDescent="0.25">
      <c r="B44" s="29" t="s">
        <v>199</v>
      </c>
      <c r="C44" s="28" t="s">
        <v>198</v>
      </c>
      <c r="D44" s="28">
        <v>0.3</v>
      </c>
      <c r="E44" s="28" t="s">
        <v>42</v>
      </c>
      <c r="F44" s="30" t="s">
        <v>143</v>
      </c>
    </row>
    <row r="45" spans="2:6" x14ac:dyDescent="0.25">
      <c r="B45" s="29" t="s">
        <v>200</v>
      </c>
      <c r="C45" s="28" t="s">
        <v>198</v>
      </c>
      <c r="D45" s="28">
        <v>0.25</v>
      </c>
      <c r="E45" s="28" t="s">
        <v>42</v>
      </c>
      <c r="F45" s="30" t="s">
        <v>143</v>
      </c>
    </row>
    <row r="46" spans="2:6" x14ac:dyDescent="0.25">
      <c r="B46" s="29" t="s">
        <v>201</v>
      </c>
      <c r="C46" s="28" t="s">
        <v>198</v>
      </c>
      <c r="D46" s="28"/>
      <c r="E46" s="28" t="s">
        <v>42</v>
      </c>
      <c r="F46" s="30" t="s">
        <v>140</v>
      </c>
    </row>
    <row r="47" spans="2:6" x14ac:dyDescent="0.25">
      <c r="B47" s="29" t="s">
        <v>202</v>
      </c>
      <c r="C47" s="28" t="s">
        <v>198</v>
      </c>
      <c r="D47" s="28"/>
      <c r="E47" s="28" t="s">
        <v>189</v>
      </c>
      <c r="F47" s="30" t="s">
        <v>140</v>
      </c>
    </row>
    <row r="48" spans="2:6" x14ac:dyDescent="0.25">
      <c r="B48" s="29" t="s">
        <v>203</v>
      </c>
      <c r="C48" s="28" t="s">
        <v>198</v>
      </c>
      <c r="D48" s="28">
        <v>57</v>
      </c>
      <c r="E48" s="28" t="s">
        <v>148</v>
      </c>
      <c r="F48" s="30" t="s">
        <v>143</v>
      </c>
    </row>
    <row r="49" spans="2:6" x14ac:dyDescent="0.25">
      <c r="B49" s="29" t="s">
        <v>204</v>
      </c>
      <c r="C49" s="28" t="s">
        <v>198</v>
      </c>
      <c r="D49" s="28"/>
      <c r="E49" s="28" t="s">
        <v>192</v>
      </c>
      <c r="F49" s="30" t="s">
        <v>140</v>
      </c>
    </row>
    <row r="50" spans="2:6" x14ac:dyDescent="0.25">
      <c r="B50" s="29" t="s">
        <v>205</v>
      </c>
      <c r="C50" s="28" t="s">
        <v>198</v>
      </c>
      <c r="D50" s="28"/>
      <c r="E50" s="28" t="s">
        <v>192</v>
      </c>
      <c r="F50" s="30" t="s">
        <v>140</v>
      </c>
    </row>
    <row r="51" spans="2:6" x14ac:dyDescent="0.25">
      <c r="B51" s="29" t="s">
        <v>206</v>
      </c>
      <c r="C51" s="28" t="s">
        <v>198</v>
      </c>
      <c r="D51" s="28">
        <v>0.129</v>
      </c>
      <c r="E51" s="28" t="s">
        <v>148</v>
      </c>
      <c r="F51" s="30" t="s">
        <v>143</v>
      </c>
    </row>
    <row r="52" spans="2:6" x14ac:dyDescent="0.25">
      <c r="B52" s="29" t="s">
        <v>207</v>
      </c>
      <c r="C52" s="28" t="s">
        <v>198</v>
      </c>
      <c r="D52" s="28">
        <v>1.85</v>
      </c>
      <c r="E52" s="28" t="s">
        <v>196</v>
      </c>
      <c r="F52" s="30" t="s">
        <v>143</v>
      </c>
    </row>
    <row r="53" spans="2:6" x14ac:dyDescent="0.25">
      <c r="B53" s="29" t="s">
        <v>208</v>
      </c>
      <c r="C53" s="28" t="s">
        <v>209</v>
      </c>
      <c r="D53" s="28"/>
      <c r="E53" s="28" t="s">
        <v>54</v>
      </c>
      <c r="F53" s="30" t="s">
        <v>140</v>
      </c>
    </row>
    <row r="54" spans="2:6" x14ac:dyDescent="0.25">
      <c r="B54" s="29" t="s">
        <v>210</v>
      </c>
      <c r="C54" s="28" t="s">
        <v>209</v>
      </c>
      <c r="D54" s="28"/>
      <c r="E54" s="28" t="s">
        <v>54</v>
      </c>
      <c r="F54" s="30" t="s">
        <v>140</v>
      </c>
    </row>
    <row r="55" spans="2:6" x14ac:dyDescent="0.25">
      <c r="B55" s="29" t="s">
        <v>211</v>
      </c>
      <c r="C55" s="28" t="s">
        <v>209</v>
      </c>
      <c r="D55" s="28"/>
      <c r="E55" s="28" t="s">
        <v>54</v>
      </c>
      <c r="F55" s="30" t="s">
        <v>140</v>
      </c>
    </row>
    <row r="56" spans="2:6" x14ac:dyDescent="0.25">
      <c r="B56" s="29" t="s">
        <v>212</v>
      </c>
      <c r="C56" s="28" t="s">
        <v>209</v>
      </c>
      <c r="D56" s="28"/>
      <c r="E56" s="28" t="s">
        <v>54</v>
      </c>
      <c r="F56" s="30" t="s">
        <v>140</v>
      </c>
    </row>
    <row r="57" spans="2:6" x14ac:dyDescent="0.25">
      <c r="B57" s="29"/>
      <c r="C57" s="28"/>
      <c r="D57" s="28"/>
      <c r="E57" s="28"/>
      <c r="F57" s="30"/>
    </row>
    <row r="58" spans="2:6" x14ac:dyDescent="0.25">
      <c r="B58" s="29"/>
      <c r="C58" s="28"/>
      <c r="D58" s="28"/>
      <c r="E58" s="28"/>
      <c r="F58" s="30"/>
    </row>
    <row r="59" spans="2:6" x14ac:dyDescent="0.25">
      <c r="B59" s="29"/>
      <c r="C59" s="28"/>
      <c r="D59" s="28"/>
      <c r="E59" s="28"/>
      <c r="F59" s="30"/>
    </row>
    <row r="60" spans="2:6" x14ac:dyDescent="0.25">
      <c r="B60" s="29"/>
      <c r="C60" s="28"/>
      <c r="D60" s="28"/>
      <c r="E60" s="28"/>
      <c r="F60" s="30"/>
    </row>
    <row r="61" spans="2:6" x14ac:dyDescent="0.25">
      <c r="B61" s="29"/>
      <c r="C61" s="28"/>
      <c r="D61" s="28"/>
      <c r="E61" s="28"/>
      <c r="F61" s="30"/>
    </row>
    <row r="62" spans="2:6" x14ac:dyDescent="0.25">
      <c r="B62" s="29"/>
      <c r="C62" s="28"/>
      <c r="D62" s="28"/>
      <c r="E62" s="28"/>
      <c r="F62" s="30"/>
    </row>
    <row r="63" spans="2:6" x14ac:dyDescent="0.25">
      <c r="B63" s="29"/>
      <c r="C63" s="28"/>
      <c r="D63" s="28"/>
      <c r="E63" s="28"/>
      <c r="F63" s="30"/>
    </row>
    <row r="64" spans="2:6" x14ac:dyDescent="0.25">
      <c r="B64" s="29"/>
      <c r="C64" s="28"/>
      <c r="D64" s="28"/>
      <c r="E64" s="28"/>
      <c r="F64" s="30"/>
    </row>
    <row r="65" spans="2:6" x14ac:dyDescent="0.25">
      <c r="B65" s="29"/>
      <c r="C65" s="28"/>
      <c r="D65" s="28"/>
      <c r="E65" s="28"/>
      <c r="F65" s="30"/>
    </row>
    <row r="66" spans="2:6" x14ac:dyDescent="0.25">
      <c r="B66" s="29"/>
      <c r="C66" s="28"/>
      <c r="D66" s="28"/>
      <c r="E66" s="28"/>
      <c r="F66" s="30"/>
    </row>
    <row r="67" spans="2:6" x14ac:dyDescent="0.25">
      <c r="B67" s="29"/>
      <c r="C67" s="28"/>
      <c r="D67" s="28"/>
      <c r="E67" s="28"/>
      <c r="F67" s="30"/>
    </row>
    <row r="68" spans="2:6" x14ac:dyDescent="0.25">
      <c r="B68" s="29"/>
      <c r="C68" s="28"/>
      <c r="D68" s="28"/>
      <c r="E68" s="28"/>
      <c r="F68" s="30"/>
    </row>
    <row r="69" spans="2:6" x14ac:dyDescent="0.25">
      <c r="B69" s="29"/>
      <c r="C69" s="28"/>
      <c r="D69" s="28"/>
      <c r="E69" s="28"/>
      <c r="F69" s="30"/>
    </row>
    <row r="70" spans="2:6" x14ac:dyDescent="0.25">
      <c r="B70" s="29"/>
      <c r="C70" s="28"/>
      <c r="D70" s="28"/>
      <c r="E70" s="28"/>
      <c r="F70" s="30"/>
    </row>
    <row r="71" spans="2:6" x14ac:dyDescent="0.25">
      <c r="B71" s="29"/>
      <c r="C71" s="28"/>
      <c r="D71" s="28"/>
      <c r="E71" s="28"/>
      <c r="F71" s="30"/>
    </row>
    <row r="72" spans="2:6" x14ac:dyDescent="0.25">
      <c r="B72" s="29"/>
      <c r="C72" s="28"/>
      <c r="D72" s="28"/>
      <c r="E72" s="28"/>
      <c r="F72" s="30"/>
    </row>
    <row r="73" spans="2:6" x14ac:dyDescent="0.25">
      <c r="B73" s="29"/>
      <c r="C73" s="28"/>
      <c r="D73" s="28"/>
      <c r="E73" s="28"/>
      <c r="F73" s="30"/>
    </row>
    <row r="74" spans="2:6" x14ac:dyDescent="0.25">
      <c r="B74" s="29"/>
      <c r="C74" s="28"/>
      <c r="D74" s="28"/>
      <c r="E74" s="28"/>
      <c r="F74" s="30"/>
    </row>
    <row r="75" spans="2:6" x14ac:dyDescent="0.25">
      <c r="B75" s="29"/>
      <c r="C75" s="28"/>
      <c r="D75" s="28"/>
      <c r="E75" s="28"/>
      <c r="F75" s="30"/>
    </row>
    <row r="76" spans="2:6" x14ac:dyDescent="0.25">
      <c r="B76" s="29"/>
      <c r="C76" s="28"/>
      <c r="D76" s="28"/>
      <c r="E76" s="28"/>
      <c r="F76" s="30"/>
    </row>
    <row r="77" spans="2:6" x14ac:dyDescent="0.25">
      <c r="B77" s="29"/>
      <c r="C77" s="28"/>
      <c r="D77" s="28"/>
      <c r="E77" s="28"/>
      <c r="F77" s="30"/>
    </row>
    <row r="78" spans="2:6" x14ac:dyDescent="0.25">
      <c r="B78" s="29"/>
      <c r="C78" s="28"/>
      <c r="D78" s="28"/>
      <c r="E78" s="28"/>
      <c r="F78" s="30"/>
    </row>
    <row r="79" spans="2:6" x14ac:dyDescent="0.25">
      <c r="B79" s="29"/>
      <c r="C79" s="28"/>
      <c r="D79" s="28"/>
      <c r="E79" s="28"/>
      <c r="F79" s="30"/>
    </row>
    <row r="80" spans="2:6" x14ac:dyDescent="0.25">
      <c r="B80" s="29"/>
      <c r="C80" s="28"/>
      <c r="D80" s="28"/>
      <c r="E80" s="28"/>
      <c r="F80" s="30"/>
    </row>
    <row r="81" spans="2:6" x14ac:dyDescent="0.25">
      <c r="B81" s="29"/>
      <c r="C81" s="28"/>
      <c r="D81" s="28"/>
      <c r="E81" s="28"/>
      <c r="F81" s="30"/>
    </row>
    <row r="82" spans="2:6" x14ac:dyDescent="0.25">
      <c r="B82" s="29"/>
      <c r="C82" s="28"/>
      <c r="D82" s="28"/>
      <c r="E82" s="28"/>
      <c r="F82" s="30"/>
    </row>
    <row r="83" spans="2:6" x14ac:dyDescent="0.25">
      <c r="B83" s="29"/>
      <c r="C83" s="28"/>
      <c r="D83" s="28"/>
      <c r="E83" s="28"/>
      <c r="F83" s="30"/>
    </row>
    <row r="84" spans="2:6" x14ac:dyDescent="0.25">
      <c r="B84" s="29"/>
      <c r="C84" s="28"/>
      <c r="D84" s="28"/>
      <c r="E84" s="28"/>
      <c r="F84" s="30"/>
    </row>
    <row r="85" spans="2:6" x14ac:dyDescent="0.25">
      <c r="B85" s="29"/>
      <c r="C85" s="28"/>
      <c r="D85" s="28"/>
      <c r="E85" s="28"/>
      <c r="F85" s="30"/>
    </row>
    <row r="86" spans="2:6" x14ac:dyDescent="0.25">
      <c r="B86" s="29"/>
      <c r="C86" s="28"/>
      <c r="D86" s="28"/>
      <c r="E86" s="28"/>
      <c r="F86" s="30"/>
    </row>
    <row r="87" spans="2:6" x14ac:dyDescent="0.25">
      <c r="B87" s="29"/>
      <c r="C87" s="28"/>
      <c r="D87" s="28"/>
      <c r="E87" s="28"/>
      <c r="F87" s="30"/>
    </row>
    <row r="88" spans="2:6" x14ac:dyDescent="0.25">
      <c r="B88" s="29"/>
      <c r="C88" s="28"/>
      <c r="D88" s="28"/>
      <c r="E88" s="28"/>
      <c r="F88" s="30"/>
    </row>
    <row r="89" spans="2:6" x14ac:dyDescent="0.25">
      <c r="B89" s="29"/>
      <c r="C89" s="28"/>
      <c r="D89" s="28"/>
      <c r="E89" s="28"/>
      <c r="F89" s="30"/>
    </row>
    <row r="90" spans="2:6" x14ac:dyDescent="0.25">
      <c r="B90" s="29"/>
      <c r="C90" s="28"/>
      <c r="D90" s="28"/>
      <c r="E90" s="28"/>
      <c r="F90" s="30"/>
    </row>
    <row r="91" spans="2:6" x14ac:dyDescent="0.25">
      <c r="B91" s="29"/>
      <c r="C91" s="28"/>
      <c r="D91" s="28"/>
      <c r="E91" s="28"/>
      <c r="F91" s="30"/>
    </row>
    <row r="92" spans="2:6" x14ac:dyDescent="0.25">
      <c r="B92" s="29"/>
      <c r="C92" s="28"/>
      <c r="D92" s="28"/>
      <c r="E92" s="28"/>
      <c r="F92" s="30"/>
    </row>
    <row r="93" spans="2:6" x14ac:dyDescent="0.25">
      <c r="B93" s="29"/>
      <c r="C93" s="28"/>
      <c r="D93" s="28"/>
      <c r="E93" s="28"/>
      <c r="F93" s="30"/>
    </row>
    <row r="94" spans="2:6" x14ac:dyDescent="0.25">
      <c r="B94" s="29"/>
      <c r="C94" s="28"/>
      <c r="D94" s="28"/>
      <c r="E94" s="28"/>
      <c r="F94" s="30"/>
    </row>
    <row r="95" spans="2:6" x14ac:dyDescent="0.25">
      <c r="B95" s="29"/>
      <c r="C95" s="28"/>
      <c r="D95" s="28"/>
      <c r="E95" s="28"/>
      <c r="F95" s="30"/>
    </row>
    <row r="96" spans="2:6" x14ac:dyDescent="0.25">
      <c r="B96" s="29"/>
      <c r="C96" s="28"/>
      <c r="D96" s="28"/>
      <c r="E96" s="28"/>
      <c r="F96" s="30"/>
    </row>
    <row r="97" spans="2:6" x14ac:dyDescent="0.25">
      <c r="B97" s="29"/>
      <c r="C97" s="28"/>
      <c r="D97" s="28"/>
      <c r="E97" s="28"/>
      <c r="F97" s="30"/>
    </row>
    <row r="98" spans="2:6" x14ac:dyDescent="0.25">
      <c r="B98" s="29"/>
      <c r="C98" s="28"/>
      <c r="D98" s="28"/>
      <c r="E98" s="28"/>
      <c r="F98" s="30"/>
    </row>
    <row r="99" spans="2:6" x14ac:dyDescent="0.25">
      <c r="B99" s="29"/>
      <c r="C99" s="28"/>
      <c r="D99" s="28"/>
      <c r="E99" s="28"/>
      <c r="F99" s="30"/>
    </row>
    <row r="100" spans="2:6" x14ac:dyDescent="0.25">
      <c r="B100" s="29"/>
      <c r="C100" s="28"/>
      <c r="D100" s="28"/>
      <c r="E100" s="28"/>
      <c r="F100" s="30"/>
    </row>
    <row r="101" spans="2:6" x14ac:dyDescent="0.25">
      <c r="B101" s="29"/>
      <c r="C101" s="28"/>
      <c r="D101" s="28"/>
      <c r="E101" s="28"/>
      <c r="F101" s="30"/>
    </row>
    <row r="102" spans="2:6" x14ac:dyDescent="0.25">
      <c r="B102" s="29"/>
      <c r="C102" s="28"/>
      <c r="D102" s="28"/>
      <c r="E102" s="28"/>
      <c r="F102" s="30"/>
    </row>
    <row r="103" spans="2:6" x14ac:dyDescent="0.25">
      <c r="B103" s="29"/>
      <c r="C103" s="28"/>
      <c r="D103" s="28"/>
      <c r="E103" s="28"/>
      <c r="F103" s="30"/>
    </row>
    <row r="104" spans="2:6" x14ac:dyDescent="0.25">
      <c r="B104" s="29"/>
      <c r="C104" s="28"/>
      <c r="D104" s="28"/>
      <c r="E104" s="28"/>
      <c r="F104" s="30"/>
    </row>
    <row r="105" spans="2:6" x14ac:dyDescent="0.25">
      <c r="B105" s="29"/>
      <c r="C105" s="28"/>
      <c r="D105" s="28"/>
      <c r="E105" s="28"/>
      <c r="F105" s="30"/>
    </row>
    <row r="106" spans="2:6" x14ac:dyDescent="0.25">
      <c r="B106" s="29"/>
      <c r="C106" s="28"/>
      <c r="D106" s="28"/>
      <c r="E106" s="28"/>
      <c r="F106" s="30"/>
    </row>
    <row r="107" spans="2:6" x14ac:dyDescent="0.25">
      <c r="B107" s="29"/>
      <c r="C107" s="28"/>
      <c r="D107" s="28"/>
      <c r="E107" s="28"/>
      <c r="F107" s="30"/>
    </row>
    <row r="108" spans="2:6" x14ac:dyDescent="0.25">
      <c r="B108" s="29"/>
      <c r="C108" s="28"/>
      <c r="D108" s="28"/>
      <c r="E108" s="28"/>
      <c r="F108" s="30"/>
    </row>
    <row r="109" spans="2:6" x14ac:dyDescent="0.25">
      <c r="B109" s="29"/>
      <c r="C109" s="28"/>
      <c r="D109" s="28"/>
      <c r="E109" s="28"/>
      <c r="F109" s="30"/>
    </row>
    <row r="110" spans="2:6" x14ac:dyDescent="0.25">
      <c r="B110" s="29"/>
      <c r="C110" s="28"/>
      <c r="D110" s="28"/>
      <c r="E110" s="28"/>
      <c r="F110" s="30"/>
    </row>
    <row r="111" spans="2:6" x14ac:dyDescent="0.25">
      <c r="B111" s="29"/>
      <c r="C111" s="28"/>
      <c r="D111" s="28"/>
      <c r="E111" s="28"/>
      <c r="F111" s="30"/>
    </row>
    <row r="112" spans="2:6" x14ac:dyDescent="0.25">
      <c r="B112" s="29"/>
      <c r="C112" s="28"/>
      <c r="D112" s="28"/>
      <c r="E112" s="28"/>
      <c r="F112" s="30"/>
    </row>
    <row r="113" spans="2:6" x14ac:dyDescent="0.25">
      <c r="B113" s="29"/>
      <c r="C113" s="28"/>
      <c r="D113" s="28"/>
      <c r="E113" s="28"/>
      <c r="F113" s="30"/>
    </row>
    <row r="114" spans="2:6" x14ac:dyDescent="0.25">
      <c r="B114" s="29"/>
      <c r="C114" s="28"/>
      <c r="D114" s="28"/>
      <c r="E114" s="28"/>
      <c r="F114" s="30"/>
    </row>
    <row r="115" spans="2:6" x14ac:dyDescent="0.25">
      <c r="B115" s="29"/>
      <c r="C115" s="28"/>
      <c r="D115" s="28"/>
      <c r="E115" s="28"/>
      <c r="F115" s="30"/>
    </row>
    <row r="116" spans="2:6" x14ac:dyDescent="0.25">
      <c r="B116" s="29"/>
      <c r="C116" s="28"/>
      <c r="D116" s="28"/>
      <c r="E116" s="28"/>
      <c r="F116" s="30"/>
    </row>
    <row r="117" spans="2:6" x14ac:dyDescent="0.25">
      <c r="B117" s="29"/>
      <c r="C117" s="28"/>
      <c r="D117" s="28"/>
      <c r="E117" s="28"/>
      <c r="F117" s="30"/>
    </row>
    <row r="118" spans="2:6" x14ac:dyDescent="0.25">
      <c r="B118" s="29"/>
      <c r="C118" s="28"/>
      <c r="D118" s="28"/>
      <c r="E118" s="28"/>
      <c r="F118" s="30"/>
    </row>
    <row r="119" spans="2:6" x14ac:dyDescent="0.25">
      <c r="B119" s="29"/>
      <c r="C119" s="28"/>
      <c r="D119" s="28"/>
      <c r="E119" s="28"/>
      <c r="F119" s="30"/>
    </row>
    <row r="120" spans="2:6" x14ac:dyDescent="0.25">
      <c r="B120" s="29"/>
      <c r="C120" s="28"/>
      <c r="D120" s="28"/>
      <c r="E120" s="28"/>
      <c r="F120" s="30"/>
    </row>
    <row r="121" spans="2:6" x14ac:dyDescent="0.25">
      <c r="B121" s="29"/>
      <c r="C121" s="28"/>
      <c r="D121" s="28"/>
      <c r="E121" s="28"/>
      <c r="F121" s="30"/>
    </row>
    <row r="122" spans="2:6" x14ac:dyDescent="0.25">
      <c r="B122" s="29"/>
      <c r="C122" s="28"/>
      <c r="D122" s="28"/>
      <c r="E122" s="28"/>
      <c r="F122" s="30"/>
    </row>
    <row r="123" spans="2:6" x14ac:dyDescent="0.25">
      <c r="B123" s="29"/>
      <c r="C123" s="28"/>
      <c r="D123" s="28"/>
      <c r="E123" s="28"/>
      <c r="F123" s="30"/>
    </row>
    <row r="124" spans="2:6" x14ac:dyDescent="0.25">
      <c r="B124" s="29"/>
      <c r="C124" s="28"/>
      <c r="D124" s="28"/>
      <c r="E124" s="28"/>
      <c r="F124" s="30"/>
    </row>
    <row r="125" spans="2:6" x14ac:dyDescent="0.25">
      <c r="B125" s="29"/>
      <c r="C125" s="28"/>
      <c r="D125" s="28"/>
      <c r="E125" s="28"/>
      <c r="F125" s="30"/>
    </row>
    <row r="126" spans="2:6" x14ac:dyDescent="0.25">
      <c r="B126" s="29"/>
      <c r="C126" s="28"/>
      <c r="D126" s="28"/>
      <c r="E126" s="28"/>
      <c r="F126" s="30"/>
    </row>
    <row r="127" spans="2:6" x14ac:dyDescent="0.25">
      <c r="B127" s="29"/>
      <c r="C127" s="28"/>
      <c r="D127" s="28"/>
      <c r="E127" s="28"/>
      <c r="F127" s="30"/>
    </row>
    <row r="128" spans="2:6" x14ac:dyDescent="0.25">
      <c r="B128" s="29"/>
      <c r="C128" s="28"/>
      <c r="D128" s="28"/>
      <c r="E128" s="28"/>
      <c r="F128" s="30"/>
    </row>
    <row r="129" spans="2:6" x14ac:dyDescent="0.25">
      <c r="B129" s="29"/>
      <c r="C129" s="28"/>
      <c r="D129" s="28"/>
      <c r="E129" s="28"/>
      <c r="F129" s="30"/>
    </row>
    <row r="130" spans="2:6" x14ac:dyDescent="0.25">
      <c r="B130" s="29"/>
      <c r="C130" s="28"/>
      <c r="D130" s="28"/>
      <c r="E130" s="28"/>
      <c r="F130" s="30"/>
    </row>
    <row r="131" spans="2:6" x14ac:dyDescent="0.25">
      <c r="B131" s="29"/>
      <c r="C131" s="28"/>
      <c r="D131" s="28"/>
      <c r="E131" s="28"/>
      <c r="F131" s="30"/>
    </row>
    <row r="132" spans="2:6" x14ac:dyDescent="0.25">
      <c r="B132" s="29"/>
      <c r="C132" s="28"/>
      <c r="D132" s="28"/>
      <c r="E132" s="28"/>
      <c r="F132" s="30"/>
    </row>
    <row r="133" spans="2:6" x14ac:dyDescent="0.25">
      <c r="B133" s="29"/>
      <c r="C133" s="28"/>
      <c r="D133" s="28"/>
      <c r="E133" s="28"/>
      <c r="F133" s="30"/>
    </row>
    <row r="134" spans="2:6" x14ac:dyDescent="0.25">
      <c r="B134" s="29"/>
      <c r="C134" s="28"/>
      <c r="D134" s="28"/>
      <c r="E134" s="28"/>
      <c r="F134" s="30"/>
    </row>
    <row r="135" spans="2:6" x14ac:dyDescent="0.25">
      <c r="B135" s="29"/>
      <c r="C135" s="28"/>
      <c r="D135" s="28"/>
      <c r="E135" s="28"/>
      <c r="F135" s="30"/>
    </row>
    <row r="136" spans="2:6" x14ac:dyDescent="0.25">
      <c r="B136" s="29"/>
      <c r="C136" s="28"/>
      <c r="D136" s="28"/>
      <c r="E136" s="28"/>
      <c r="F136" s="30"/>
    </row>
    <row r="137" spans="2:6" x14ac:dyDescent="0.25">
      <c r="B137" s="29"/>
      <c r="C137" s="28"/>
      <c r="D137" s="28"/>
      <c r="E137" s="28"/>
      <c r="F137" s="30"/>
    </row>
    <row r="138" spans="2:6" x14ac:dyDescent="0.25">
      <c r="B138" s="29"/>
      <c r="C138" s="28"/>
      <c r="D138" s="28"/>
      <c r="E138" s="28"/>
      <c r="F138" s="30"/>
    </row>
    <row r="139" spans="2:6" x14ac:dyDescent="0.25">
      <c r="B139" s="29"/>
      <c r="C139" s="28"/>
      <c r="D139" s="28"/>
      <c r="E139" s="28"/>
      <c r="F139" s="30"/>
    </row>
    <row r="140" spans="2:6" x14ac:dyDescent="0.25">
      <c r="B140" s="29"/>
      <c r="C140" s="28"/>
      <c r="D140" s="28"/>
      <c r="E140" s="28"/>
      <c r="F140" s="30"/>
    </row>
    <row r="141" spans="2:6" x14ac:dyDescent="0.25">
      <c r="B141" s="29"/>
      <c r="C141" s="28"/>
      <c r="D141" s="28"/>
      <c r="E141" s="28"/>
      <c r="F141" s="30"/>
    </row>
    <row r="142" spans="2:6" x14ac:dyDescent="0.25">
      <c r="B142" s="29"/>
      <c r="C142" s="28"/>
      <c r="D142" s="28"/>
      <c r="E142" s="28"/>
      <c r="F142" s="30"/>
    </row>
    <row r="143" spans="2:6" x14ac:dyDescent="0.25">
      <c r="B143" s="29"/>
      <c r="C143" s="28"/>
      <c r="D143" s="28"/>
      <c r="E143" s="28"/>
      <c r="F143" s="30"/>
    </row>
    <row r="144" spans="2:6" x14ac:dyDescent="0.25">
      <c r="B144" s="29"/>
      <c r="C144" s="28"/>
      <c r="D144" s="28"/>
      <c r="E144" s="28"/>
      <c r="F144" s="30"/>
    </row>
    <row r="145" spans="2:6" x14ac:dyDescent="0.25">
      <c r="B145" s="29"/>
      <c r="C145" s="28"/>
      <c r="D145" s="28"/>
      <c r="E145" s="28"/>
      <c r="F145" s="30"/>
    </row>
    <row r="146" spans="2:6" x14ac:dyDescent="0.25">
      <c r="B146" s="29"/>
      <c r="C146" s="28"/>
      <c r="D146" s="28"/>
      <c r="E146" s="28"/>
      <c r="F146" s="30"/>
    </row>
    <row r="147" spans="2:6" x14ac:dyDescent="0.25">
      <c r="B147" s="29"/>
      <c r="C147" s="28"/>
      <c r="D147" s="28"/>
      <c r="E147" s="28"/>
      <c r="F147" s="30"/>
    </row>
    <row r="148" spans="2:6" x14ac:dyDescent="0.25">
      <c r="B148" s="29"/>
      <c r="C148" s="28"/>
      <c r="D148" s="28"/>
      <c r="E148" s="28"/>
      <c r="F148" s="30"/>
    </row>
    <row r="149" spans="2:6" x14ac:dyDescent="0.25">
      <c r="B149" s="29"/>
      <c r="C149" s="28"/>
      <c r="D149" s="28"/>
      <c r="E149" s="28"/>
      <c r="F149" s="30"/>
    </row>
    <row r="150" spans="2:6" x14ac:dyDescent="0.25">
      <c r="B150" s="29"/>
      <c r="C150" s="28"/>
      <c r="D150" s="28"/>
      <c r="E150" s="28"/>
      <c r="F150" s="30"/>
    </row>
    <row r="151" spans="2:6" x14ac:dyDescent="0.25">
      <c r="B151" s="29"/>
      <c r="C151" s="28"/>
      <c r="D151" s="28"/>
      <c r="E151" s="28"/>
      <c r="F151" s="30"/>
    </row>
    <row r="152" spans="2:6" x14ac:dyDescent="0.25">
      <c r="B152" s="29"/>
      <c r="C152" s="28"/>
      <c r="D152" s="28"/>
      <c r="E152" s="28"/>
      <c r="F152" s="30"/>
    </row>
    <row r="153" spans="2:6" x14ac:dyDescent="0.25">
      <c r="B153" s="29"/>
      <c r="C153" s="28"/>
      <c r="D153" s="28"/>
      <c r="E153" s="28"/>
      <c r="F153" s="30"/>
    </row>
    <row r="154" spans="2:6" x14ac:dyDescent="0.25">
      <c r="B154" s="29"/>
      <c r="C154" s="28"/>
      <c r="D154" s="28"/>
      <c r="E154" s="28"/>
      <c r="F154" s="30"/>
    </row>
    <row r="155" spans="2:6" x14ac:dyDescent="0.25">
      <c r="B155" s="29"/>
      <c r="C155" s="28"/>
      <c r="D155" s="28"/>
      <c r="E155" s="28"/>
      <c r="F155" s="30"/>
    </row>
    <row r="156" spans="2:6" x14ac:dyDescent="0.25">
      <c r="B156" s="29"/>
      <c r="C156" s="28"/>
      <c r="D156" s="28"/>
      <c r="E156" s="28"/>
      <c r="F156" s="30"/>
    </row>
    <row r="157" spans="2:6" x14ac:dyDescent="0.25">
      <c r="B157" s="29"/>
      <c r="C157" s="28"/>
      <c r="D157" s="28"/>
      <c r="E157" s="28"/>
      <c r="F157" s="30"/>
    </row>
    <row r="158" spans="2:6" x14ac:dyDescent="0.25">
      <c r="B158" s="29"/>
      <c r="C158" s="28"/>
      <c r="D158" s="28"/>
      <c r="E158" s="28"/>
      <c r="F158" s="30"/>
    </row>
    <row r="159" spans="2:6" x14ac:dyDescent="0.25">
      <c r="B159" s="29"/>
      <c r="C159" s="28"/>
      <c r="D159" s="28"/>
      <c r="E159" s="28"/>
      <c r="F159" s="30"/>
    </row>
    <row r="160" spans="2:6" x14ac:dyDescent="0.25">
      <c r="B160" s="29"/>
      <c r="C160" s="28"/>
      <c r="D160" s="28"/>
      <c r="E160" s="28"/>
      <c r="F160" s="30"/>
    </row>
    <row r="161" spans="2:6" x14ac:dyDescent="0.25">
      <c r="B161" s="29"/>
      <c r="C161" s="28"/>
      <c r="D161" s="28"/>
      <c r="E161" s="28"/>
      <c r="F161" s="30"/>
    </row>
    <row r="162" spans="2:6" x14ac:dyDescent="0.25">
      <c r="B162" s="29"/>
      <c r="C162" s="28"/>
      <c r="D162" s="28"/>
      <c r="E162" s="28"/>
      <c r="F162" s="30"/>
    </row>
    <row r="163" spans="2:6" x14ac:dyDescent="0.25">
      <c r="B163" s="29"/>
      <c r="C163" s="28"/>
      <c r="D163" s="28"/>
      <c r="E163" s="28"/>
      <c r="F163" s="30"/>
    </row>
    <row r="164" spans="2:6" x14ac:dyDescent="0.25">
      <c r="B164" s="29"/>
      <c r="C164" s="28"/>
      <c r="D164" s="28"/>
      <c r="E164" s="28"/>
      <c r="F164" s="30"/>
    </row>
    <row r="165" spans="2:6" x14ac:dyDescent="0.25">
      <c r="B165" s="29"/>
      <c r="C165" s="28"/>
      <c r="D165" s="28"/>
      <c r="E165" s="28"/>
      <c r="F165" s="30"/>
    </row>
    <row r="166" spans="2:6" x14ac:dyDescent="0.25">
      <c r="B166" s="29"/>
      <c r="C166" s="28"/>
      <c r="D166" s="28"/>
      <c r="E166" s="28"/>
      <c r="F166" s="30"/>
    </row>
    <row r="167" spans="2:6" x14ac:dyDescent="0.25">
      <c r="B167" s="29"/>
      <c r="C167" s="28"/>
      <c r="D167" s="28"/>
      <c r="E167" s="28"/>
      <c r="F167" s="30"/>
    </row>
    <row r="168" spans="2:6" x14ac:dyDescent="0.25">
      <c r="B168" s="29"/>
      <c r="C168" s="28"/>
      <c r="D168" s="28"/>
      <c r="E168" s="28"/>
      <c r="F168" s="30"/>
    </row>
    <row r="169" spans="2:6" x14ac:dyDescent="0.25">
      <c r="B169" s="29"/>
      <c r="C169" s="28"/>
      <c r="D169" s="28"/>
      <c r="E169" s="28"/>
      <c r="F169" s="30"/>
    </row>
    <row r="170" spans="2:6" x14ac:dyDescent="0.25">
      <c r="B170" s="29"/>
      <c r="C170" s="28"/>
      <c r="D170" s="28"/>
      <c r="E170" s="28"/>
      <c r="F170" s="30"/>
    </row>
    <row r="171" spans="2:6" x14ac:dyDescent="0.25">
      <c r="B171" s="29"/>
      <c r="C171" s="28"/>
      <c r="D171" s="28"/>
      <c r="E171" s="28"/>
      <c r="F171" s="30"/>
    </row>
    <row r="172" spans="2:6" x14ac:dyDescent="0.25">
      <c r="B172" s="29"/>
      <c r="C172" s="28"/>
      <c r="D172" s="28"/>
      <c r="E172" s="28"/>
      <c r="F172" s="30"/>
    </row>
    <row r="173" spans="2:6" x14ac:dyDescent="0.25">
      <c r="B173" s="29"/>
      <c r="C173" s="28"/>
      <c r="D173" s="28"/>
      <c r="E173" s="28"/>
      <c r="F173" s="30"/>
    </row>
    <row r="174" spans="2:6" x14ac:dyDescent="0.25">
      <c r="B174" s="29"/>
      <c r="C174" s="28"/>
      <c r="D174" s="28"/>
      <c r="E174" s="28"/>
      <c r="F174" s="30"/>
    </row>
    <row r="175" spans="2:6" x14ac:dyDescent="0.25">
      <c r="B175" s="29"/>
      <c r="C175" s="28"/>
      <c r="D175" s="28"/>
      <c r="E175" s="28"/>
      <c r="F175" s="30"/>
    </row>
    <row r="176" spans="2:6" x14ac:dyDescent="0.25">
      <c r="B176" s="29"/>
      <c r="C176" s="28"/>
      <c r="D176" s="28"/>
      <c r="E176" s="28"/>
      <c r="F176" s="30"/>
    </row>
    <row r="177" spans="2:6" x14ac:dyDescent="0.25">
      <c r="B177" s="29"/>
      <c r="C177" s="28"/>
      <c r="D177" s="28"/>
      <c r="E177" s="28"/>
      <c r="F177" s="30"/>
    </row>
    <row r="178" spans="2:6" x14ac:dyDescent="0.25">
      <c r="B178" s="29"/>
      <c r="C178" s="28"/>
      <c r="D178" s="28"/>
      <c r="E178" s="28"/>
      <c r="F178" s="30"/>
    </row>
    <row r="179" spans="2:6" x14ac:dyDescent="0.25">
      <c r="B179" s="29"/>
      <c r="C179" s="28"/>
      <c r="D179" s="28"/>
      <c r="E179" s="28"/>
      <c r="F179" s="30"/>
    </row>
    <row r="180" spans="2:6" x14ac:dyDescent="0.25">
      <c r="B180" s="29"/>
      <c r="C180" s="28"/>
      <c r="D180" s="28"/>
      <c r="E180" s="28"/>
      <c r="F180" s="30"/>
    </row>
    <row r="181" spans="2:6" x14ac:dyDescent="0.25">
      <c r="B181" s="29"/>
      <c r="C181" s="28"/>
      <c r="D181" s="28"/>
      <c r="E181" s="28"/>
      <c r="F181" s="30"/>
    </row>
    <row r="182" spans="2:6" x14ac:dyDescent="0.25">
      <c r="B182" s="29"/>
      <c r="C182" s="28"/>
      <c r="D182" s="28"/>
      <c r="E182" s="28"/>
      <c r="F182" s="30"/>
    </row>
    <row r="183" spans="2:6" x14ac:dyDescent="0.25">
      <c r="B183" s="29"/>
      <c r="C183" s="28"/>
      <c r="D183" s="28"/>
      <c r="E183" s="28"/>
      <c r="F183" s="30"/>
    </row>
    <row r="184" spans="2:6" x14ac:dyDescent="0.25">
      <c r="B184" s="29"/>
      <c r="C184" s="28"/>
      <c r="D184" s="28"/>
      <c r="E184" s="28"/>
      <c r="F184" s="30"/>
    </row>
    <row r="185" spans="2:6" x14ac:dyDescent="0.25">
      <c r="B185" s="29"/>
      <c r="C185" s="28"/>
      <c r="D185" s="28"/>
      <c r="E185" s="28"/>
      <c r="F185" s="30"/>
    </row>
    <row r="186" spans="2:6" x14ac:dyDescent="0.25">
      <c r="B186" s="29"/>
      <c r="C186" s="28"/>
      <c r="D186" s="28"/>
      <c r="E186" s="28"/>
      <c r="F186" s="30"/>
    </row>
    <row r="187" spans="2:6" x14ac:dyDescent="0.25">
      <c r="B187" s="29"/>
      <c r="C187" s="28"/>
      <c r="D187" s="28"/>
      <c r="E187" s="28"/>
      <c r="F187" s="30"/>
    </row>
    <row r="188" spans="2:6" x14ac:dyDescent="0.25">
      <c r="B188" s="29"/>
      <c r="C188" s="28"/>
      <c r="D188" s="28"/>
      <c r="E188" s="28"/>
      <c r="F188" s="30"/>
    </row>
    <row r="189" spans="2:6" x14ac:dyDescent="0.25">
      <c r="B189" s="29"/>
      <c r="C189" s="28"/>
      <c r="D189" s="28"/>
      <c r="E189" s="28"/>
      <c r="F189" s="30"/>
    </row>
    <row r="190" spans="2:6" x14ac:dyDescent="0.25">
      <c r="B190" s="29"/>
      <c r="C190" s="28"/>
      <c r="D190" s="28"/>
      <c r="E190" s="28"/>
      <c r="F190" s="30"/>
    </row>
    <row r="191" spans="2:6" x14ac:dyDescent="0.25">
      <c r="B191" s="29"/>
      <c r="C191" s="28"/>
      <c r="D191" s="28"/>
      <c r="E191" s="28"/>
      <c r="F191" s="30"/>
    </row>
    <row r="192" spans="2:6" x14ac:dyDescent="0.25">
      <c r="B192" s="29"/>
      <c r="C192" s="28"/>
      <c r="D192" s="28"/>
      <c r="E192" s="28"/>
      <c r="F192" s="30"/>
    </row>
    <row r="193" spans="2:6" x14ac:dyDescent="0.25">
      <c r="B193" s="29"/>
      <c r="C193" s="28"/>
      <c r="D193" s="28"/>
      <c r="E193" s="28"/>
      <c r="F193" s="30"/>
    </row>
    <row r="194" spans="2:6" x14ac:dyDescent="0.25">
      <c r="B194" s="29"/>
      <c r="C194" s="28"/>
      <c r="D194" s="28"/>
      <c r="E194" s="28"/>
      <c r="F194" s="30"/>
    </row>
    <row r="195" spans="2:6" x14ac:dyDescent="0.25">
      <c r="B195" s="29"/>
      <c r="C195" s="28"/>
      <c r="D195" s="28"/>
      <c r="E195" s="28"/>
      <c r="F195" s="30"/>
    </row>
    <row r="196" spans="2:6" x14ac:dyDescent="0.25">
      <c r="B196" s="29"/>
      <c r="C196" s="28"/>
      <c r="D196" s="28"/>
      <c r="E196" s="28"/>
      <c r="F196" s="30"/>
    </row>
    <row r="197" spans="2:6" x14ac:dyDescent="0.25">
      <c r="B197" s="29"/>
      <c r="C197" s="28"/>
      <c r="D197" s="28"/>
      <c r="E197" s="28"/>
      <c r="F197" s="30"/>
    </row>
    <row r="198" spans="2:6" x14ac:dyDescent="0.25">
      <c r="B198" s="29"/>
      <c r="C198" s="28"/>
      <c r="D198" s="28"/>
      <c r="E198" s="28"/>
      <c r="F198" s="30"/>
    </row>
    <row r="199" spans="2:6" x14ac:dyDescent="0.25">
      <c r="B199" s="29"/>
      <c r="C199" s="28"/>
      <c r="D199" s="28"/>
      <c r="E199" s="28"/>
      <c r="F199" s="30"/>
    </row>
    <row r="200" spans="2:6" x14ac:dyDescent="0.25">
      <c r="B200" s="29"/>
      <c r="C200" s="28"/>
      <c r="D200" s="28"/>
      <c r="E200" s="28"/>
      <c r="F200" s="30"/>
    </row>
    <row r="201" spans="2:6" x14ac:dyDescent="0.25">
      <c r="B201" s="29"/>
      <c r="C201" s="28"/>
      <c r="D201" s="28"/>
      <c r="E201" s="28"/>
      <c r="F201" s="30"/>
    </row>
    <row r="202" spans="2:6" ht="14.4" thickBot="1" x14ac:dyDescent="0.3">
      <c r="B202" s="31"/>
      <c r="C202" s="32"/>
      <c r="D202" s="32"/>
      <c r="E202" s="32"/>
      <c r="F202" s="33"/>
    </row>
  </sheetData>
  <sheetProtection algorithmName="SHA-512" hashValue="QLVKNnWygH5UvYUEiT/BjD3pmZc+QeU2wbRl+oqRjQ0lKOgv8bvjzD2dQzrcfsRbY5Ouaz6UDOWtiOzGd0soTw==" saltValue="A57/Iy/qEL4ZQVL/f+ENKQ==" spinCount="100000" sheet="1" objects="1" scenario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1:G79"/>
  <sheetViews>
    <sheetView workbookViewId="0">
      <selection activeCell="B79" sqref="B79"/>
    </sheetView>
  </sheetViews>
  <sheetFormatPr baseColWidth="10" defaultColWidth="8.88671875" defaultRowHeight="13.2" x14ac:dyDescent="0.25"/>
  <cols>
    <col min="1" max="1" width="2.6640625" customWidth="1"/>
    <col min="2" max="2" width="45" bestFit="1" customWidth="1"/>
    <col min="5" max="5" width="20.33203125" bestFit="1" customWidth="1"/>
    <col min="7" max="7" width="22.109375" bestFit="1" customWidth="1"/>
  </cols>
  <sheetData>
    <row r="1" spans="2:2" ht="13.8" thickBot="1" x14ac:dyDescent="0.3"/>
    <row r="2" spans="2:2" ht="13.8" thickBot="1" x14ac:dyDescent="0.3">
      <c r="B2" s="5" t="s">
        <v>67</v>
      </c>
    </row>
    <row r="3" spans="2:2" x14ac:dyDescent="0.25">
      <c r="B3" s="62" t="s">
        <v>68</v>
      </c>
    </row>
    <row r="4" spans="2:2" x14ac:dyDescent="0.25">
      <c r="B4" s="63" t="s">
        <v>69</v>
      </c>
    </row>
    <row r="5" spans="2:2" ht="13.8" thickBot="1" x14ac:dyDescent="0.3">
      <c r="B5" s="6" t="s">
        <v>70</v>
      </c>
    </row>
    <row r="18" spans="5:7" x14ac:dyDescent="0.25">
      <c r="E18" t="s">
        <v>71</v>
      </c>
      <c r="G18" t="s">
        <v>72</v>
      </c>
    </row>
    <row r="20" spans="5:7" x14ac:dyDescent="0.25">
      <c r="E20" s="7" t="s">
        <v>33</v>
      </c>
      <c r="G20" s="7" t="s">
        <v>33</v>
      </c>
    </row>
    <row r="21" spans="5:7" x14ac:dyDescent="0.25">
      <c r="E21" s="7" t="s">
        <v>4</v>
      </c>
      <c r="G21" s="7" t="s">
        <v>4</v>
      </c>
    </row>
    <row r="22" spans="5:7" x14ac:dyDescent="0.25">
      <c r="E22" s="7" t="s">
        <v>5</v>
      </c>
      <c r="G22" s="7" t="s">
        <v>5</v>
      </c>
    </row>
    <row r="23" spans="5:7" x14ac:dyDescent="0.25">
      <c r="E23" s="7" t="s">
        <v>73</v>
      </c>
      <c r="G23" s="7" t="s">
        <v>73</v>
      </c>
    </row>
    <row r="24" spans="5:7" x14ac:dyDescent="0.25">
      <c r="E24" s="7" t="s">
        <v>6</v>
      </c>
      <c r="G24" s="7"/>
    </row>
    <row r="67" spans="2:2" x14ac:dyDescent="0.25">
      <c r="B67" s="8"/>
    </row>
    <row r="68" spans="2:2" x14ac:dyDescent="0.25">
      <c r="B68" s="8"/>
    </row>
    <row r="78" spans="2:2" x14ac:dyDescent="0.25">
      <c r="B78" s="8"/>
    </row>
    <row r="79" spans="2:2" x14ac:dyDescent="0.25">
      <c r="B7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7</vt:i4>
      </vt:variant>
    </vt:vector>
  </HeadingPairs>
  <TitlesOfParts>
    <vt:vector size="11" baseType="lpstr">
      <vt:lpstr>Summary</vt:lpstr>
      <vt:lpstr>Detailed evaluation</vt:lpstr>
      <vt:lpstr>Inputs</vt:lpstr>
      <vt:lpstr>HINT</vt:lpstr>
      <vt:lpstr>check1</vt:lpstr>
      <vt:lpstr>check2</vt:lpstr>
      <vt:lpstr>check3</vt:lpstr>
      <vt:lpstr>check4</vt:lpstr>
      <vt:lpstr>loadProfile</vt:lpstr>
      <vt:lpstr>'Detailed evaluation'!ratingList</vt:lpstr>
      <vt:lpstr>secondaryBrakePerformance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Bregeault Julien (VM/EYB10)</dc:creator>
  <cp:keywords/>
  <dc:description/>
  <cp:lastModifiedBy>Bregeault Julien (VM/EYV3-LO)</cp:lastModifiedBy>
  <cp:revision/>
  <dcterms:created xsi:type="dcterms:W3CDTF">2016-08-03T12:52:02Z</dcterms:created>
  <dcterms:modified xsi:type="dcterms:W3CDTF">2026-02-05T15:18:05Z</dcterms:modified>
  <cp:category/>
  <cp:contentStatus/>
</cp:coreProperties>
</file>